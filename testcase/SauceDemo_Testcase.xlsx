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 sheetId="1" r:id="rId5"/>
    <sheet state="visible" name="TEST_SUMMARY_REPORT" sheetId="2" r:id="rId6"/>
  </sheets>
  <definedNames/>
  <calcPr/>
</workbook>
</file>

<file path=xl/sharedStrings.xml><?xml version="1.0" encoding="utf-8"?>
<sst xmlns="http://schemas.openxmlformats.org/spreadsheetml/2006/main" count="805" uniqueCount="491">
  <si>
    <t>Project Name</t>
  </si>
  <si>
    <t>SauceDemo Manual Testing</t>
  </si>
  <si>
    <t>Reference Document</t>
  </si>
  <si>
    <t>SWG-RA-2026, SWG-TP-2026, SWG-TS-2026</t>
  </si>
  <si>
    <t xml:space="preserve">Created By </t>
  </si>
  <si>
    <t xml:space="preserve">Nguyễn Long Vũ </t>
  </si>
  <si>
    <t>Date of creation</t>
  </si>
  <si>
    <t>Date of reivew</t>
  </si>
  <si>
    <t>#</t>
  </si>
  <si>
    <t>Test Case ID</t>
  </si>
  <si>
    <t xml:space="preserve">Module </t>
  </si>
  <si>
    <t>Test Objective</t>
  </si>
  <si>
    <t>Type</t>
  </si>
  <si>
    <t>Priority</t>
  </si>
  <si>
    <t>Precondition</t>
  </si>
  <si>
    <t>Steps</t>
  </si>
  <si>
    <t>Test Data</t>
  </si>
  <si>
    <t>Expected Result</t>
  </si>
  <si>
    <t>Actual Result</t>
  </si>
  <si>
    <t>Status</t>
  </si>
  <si>
    <t>Bug ID</t>
  </si>
  <si>
    <t>Notes</t>
  </si>
  <si>
    <t>TC_001</t>
  </si>
  <si>
    <t>Login</t>
  </si>
  <si>
    <t>Successful login with standard_user</t>
  </si>
  <si>
    <t>Positive</t>
  </si>
  <si>
    <t>High</t>
  </si>
  <si>
    <t xml:space="preserve">1.Browser is open 
2. https://www.saucedemo.com/  is accessible </t>
  </si>
  <si>
    <r>
      <rPr/>
      <t xml:space="preserve">1.Navitage to </t>
    </r>
    <r>
      <rPr>
        <color rgb="FF1155CC"/>
        <u/>
      </rPr>
      <t xml:space="preserve">https://www.saucedemo.com/
</t>
    </r>
    <r>
      <rPr/>
      <t xml:space="preserve">2.Enter username in the Username field
3.Enter password in the Password field
4.Click the Login button  </t>
    </r>
  </si>
  <si>
    <t xml:space="preserve">standard_user
secret_sauce </t>
  </si>
  <si>
    <t>User is authenticated
Page redirects to /inventory.html within 3 seconds
Inventory page loads with 6 products displayed</t>
  </si>
  <si>
    <t>Redirected to /inventory.html. 
6 products displayed with images, names, prices. 
Load time approximately 1 second.</t>
  </si>
  <si>
    <t>PASS</t>
  </si>
  <si>
    <t>TC_002</t>
  </si>
  <si>
    <t xml:space="preserve">Redirect to /inventory.html after successful login </t>
  </si>
  <si>
    <t>1.Login with standard_user / secret_sauce
2.Observe the URL after login completes</t>
  </si>
  <si>
    <t>URL changes to https://www.saucedemo.com/inventory.html
Inventory page is fully rendered within 3 seconds</t>
  </si>
  <si>
    <t>URL changed to https://www.saucedemo.com/inventory.html.
Inventory page fully rendered within 3 seconds.</t>
  </si>
  <si>
    <t>TC_003</t>
  </si>
  <si>
    <t xml:space="preserve">Login fails with password incorrect </t>
  </si>
  <si>
    <t>Negative</t>
  </si>
  <si>
    <t xml:space="preserve">1.Enter a vaild username 
2.Enter an incorrect password
3.Click Login </t>
  </si>
  <si>
    <t xml:space="preserve">standard_user
wrong_password </t>
  </si>
  <si>
    <t xml:space="preserve">Error message is displayed : 'Username and password do not match any user in this service'
User remains on the Login page 
No session is created </t>
  </si>
  <si>
    <t xml:space="preserve">Error message is displayed : 'Username and password do not match any user in this service'
User remains on the Login page </t>
  </si>
  <si>
    <t>TC_004</t>
  </si>
  <si>
    <t xml:space="preserve">Login fails when Username field is blank </t>
  </si>
  <si>
    <t>1.Leave the Username field empty
2.Enter a vaild password
3.Click Login</t>
  </si>
  <si>
    <t>(Blank)
secret_sauce</t>
  </si>
  <si>
    <t>Error message is displayed : 'Username is required'
User remains on the Login page 
Password field is highlighted</t>
  </si>
  <si>
    <t xml:space="preserve">Error message is displayed : 'Username is required'
User remains on the Login page </t>
  </si>
  <si>
    <t>TC_005</t>
  </si>
  <si>
    <t xml:space="preserve">Login fails when Password field is blank </t>
  </si>
  <si>
    <t xml:space="preserve">1.Enter a vaild Username 
2.Leave the Password field empty
3.Click Login </t>
  </si>
  <si>
    <t>standard_user
(Blank)</t>
  </si>
  <si>
    <t xml:space="preserve">Error message is displayed : 'Password is required'
User remains on the Login page </t>
  </si>
  <si>
    <t>TC_006</t>
  </si>
  <si>
    <t xml:space="preserve">Login fails when Username fied and Password field is blank </t>
  </si>
  <si>
    <t xml:space="preserve">1.Leave both Username and password fields empty
2.click Login </t>
  </si>
  <si>
    <t>(Blank)
(Blank)</t>
  </si>
  <si>
    <t>TC_007</t>
  </si>
  <si>
    <t>Locked account is rejected with clear message</t>
  </si>
  <si>
    <t>1.Enter locked_out_user in Username
2.Enter secret_sauce in password</t>
  </si>
  <si>
    <t>locked_out_user
secret_sauce</t>
  </si>
  <si>
    <t xml:space="preserve">Error displayed : "Sorry, this user has been locked out"
User can not access application </t>
  </si>
  <si>
    <t>TC_008</t>
  </si>
  <si>
    <t xml:space="preserve">Error message is dismissible via X button </t>
  </si>
  <si>
    <t xml:space="preserve">1.Trigger a login error (blank username )
2.Verify error message content and position 
3.Click the X button on the erorr message  </t>
  </si>
  <si>
    <t>(blank username )</t>
  </si>
  <si>
    <t xml:space="preserve">Step 2 : Error is visible with correct text at the top of the form 
Step 3 : Erorr message disappears , form returns to clean state </t>
  </si>
  <si>
    <t>Triggered login error with blank username.
Step 2: Error message appeared at top of form
with correct text and red border on input fields.
Step 3: Clicked X button — error message disappeared.
Red border removed. Form returned to clean state.</t>
  </si>
  <si>
    <t>TC_009</t>
  </si>
  <si>
    <t>Password fied always masks input</t>
  </si>
  <si>
    <t>1.Click on the Password field 
2.Type any characters</t>
  </si>
  <si>
    <t>anyValue123</t>
  </si>
  <si>
    <t xml:space="preserve">Characters are displayed as bullet dots(***) at all times 
Plaintext is never visible in the UI or page soucre </t>
  </si>
  <si>
    <t>Password characters displayed as bullet dots (•••) at all times. Plaintext not visible.</t>
  </si>
  <si>
    <t>TC_010</t>
  </si>
  <si>
    <t>Login with problem_user succeeds , inventory shows intentional bugs</t>
  </si>
  <si>
    <t xml:space="preserve">1.Enter problem_user in username 
2.Enter secret_sauce in password 
3.Click login 
4.Observe the inventory page </t>
  </si>
  <si>
    <t>problem_user
secret_sauce</t>
  </si>
  <si>
    <t xml:space="preserve">Login succeeds ; redireted to /inventory.html.Inventory page show intentional bugs(incorrect product image , ..)
Document exact load time in test report </t>
  </si>
  <si>
    <t>Login successful Redirected to /inventory.html. Intentional bugs observed: all products show incorrect/same image.</t>
  </si>
  <si>
    <t>TC_011</t>
  </si>
  <si>
    <t>Login with performace_glitch_user succeeds with delayed load</t>
  </si>
  <si>
    <t>1.Enter performance_glitch_user in username 
2.Enter secret_sauce in password 
3.Click login 
4.Record time until Inventory page is fully loaded</t>
  </si>
  <si>
    <t>performance_glitch_user
secret_sauce</t>
  </si>
  <si>
    <t>Login succeeds, redirected to /inventory.html. Page load time exceeds 3 seconds (performance glitch behavior is 
expected for this account). Document actual load time in Notes.</t>
  </si>
  <si>
    <t>Login successful but page load took approximately 5 seconds. Slower than standard_user (1 second).</t>
  </si>
  <si>
    <t>TC_012</t>
  </si>
  <si>
    <t xml:space="preserve">Unauthenticated direct URL access redirects to Login </t>
  </si>
  <si>
    <t xml:space="preserve">1. No active session </t>
  </si>
  <si>
    <r>
      <rPr/>
      <t xml:space="preserve">1.Type </t>
    </r>
    <r>
      <rPr>
        <color rgb="FF1155CC"/>
        <u/>
      </rPr>
      <t>https://www.saucedemo.com/inventory.html</t>
    </r>
    <r>
      <rPr/>
      <t xml:space="preserve"> directly in browser address bar
2.Press Enter </t>
    </r>
  </si>
  <si>
    <r>
      <rPr/>
      <t xml:space="preserve">Application redirects to </t>
    </r>
    <r>
      <rPr>
        <color rgb="FF1155CC"/>
        <u/>
      </rPr>
      <t>https://www.saucedemo.com/</t>
    </r>
    <r>
      <rPr/>
      <t xml:space="preserve"> 
Login page is displayed. Inventory is NOT accessible without authentication.</t>
    </r>
  </si>
  <si>
    <r>
      <rPr>
        <sz val="11.0"/>
      </rPr>
      <t xml:space="preserve">Application redirected to </t>
    </r>
    <r>
      <rPr>
        <color rgb="FF1155CC"/>
        <sz val="11.0"/>
        <u/>
      </rPr>
      <t>https://www.saucedemo.com/inventory.html</t>
    </r>
    <r>
      <rPr>
        <sz val="11.0"/>
      </rPr>
      <t xml:space="preserve">  without login 
Page loaded successfully — NO redirect to login page.</t>
    </r>
  </si>
  <si>
    <t>FAILS</t>
  </si>
  <si>
    <t>https://github.com/zues5sne/saucedemo-manual-testing/issues/2</t>
  </si>
  <si>
    <t>Security issue — unauthenticated users can access 
protected pages directly via URL.
Ref: NFR-S01 (Authentication Required)</t>
  </si>
  <si>
    <t>TC_013</t>
  </si>
  <si>
    <t xml:space="preserve">Login with special - character username shows appropriate </t>
  </si>
  <si>
    <t xml:space="preserve">1.Enter username containing special characters or spaces 
2.Enter any password
3.Click Login </t>
  </si>
  <si>
    <t>$$%$_username 
secret_sauce</t>
  </si>
  <si>
    <t xml:space="preserve">Error displayed :"Username and password do not match any user this service"
User remains on Login page </t>
  </si>
  <si>
    <t>TC_014</t>
  </si>
  <si>
    <t>Product List</t>
  </si>
  <si>
    <t>Inventory page displays exactly 6 products</t>
  </si>
  <si>
    <t>Medium</t>
  </si>
  <si>
    <t>1.User is logged in with standard_user/secret_sauce.
2.Application is on inventory page</t>
  </si>
  <si>
    <t>1.Observe the inventory page after login
2.Count the total number of product cards displayed</t>
  </si>
  <si>
    <t>Exactly 6 product card are displayed 
No product are hidden or cut off</t>
  </si>
  <si>
    <t>Exactly 6 product cards are displayed on the inventory page.
No products are hidden or cut off.
All 6 products are fully visible without scrolling horizontally.</t>
  </si>
  <si>
    <t>TC_015</t>
  </si>
  <si>
    <t>Each product card show all 4 required components</t>
  </si>
  <si>
    <t xml:space="preserve">1.Inspect each of the 6 product cards on inventory page 
2.Verify presence of : image , name , description and price </t>
  </si>
  <si>
    <t>Check all 6 cards</t>
  </si>
  <si>
    <t xml:space="preserve">Every card contains : a product image , product name , product desciption , price lable , and "add to cart" button 
No missing fields on any card </t>
  </si>
  <si>
    <t>All 6 product cards show all required components:
image, product name, description, price label and "Add to cart" button.
No missing fields on any card.</t>
  </si>
  <si>
    <t>TC_016</t>
  </si>
  <si>
    <t>Sort by Name A-Z displays correct order</t>
  </si>
  <si>
    <t xml:space="preserve">1.On the sort dropdown , select "Name (a-z)"
2.Observe the product order </t>
  </si>
  <si>
    <t>Sort option : Name (A-Z)</t>
  </si>
  <si>
    <t xml:space="preserve">Products displayed in order: Sauce Labs Backpack → Sauce Labs Bike Light → Sauce Labs Bolt T-Shirt → Sauce
 Labs Fleece Jacket → Sauce Labs Onesie → Test.allTheThings() T-Shirt.
</t>
  </si>
  <si>
    <t>Products displayed in correct alphabetical order (A to Z):
1. Sauce Labs Backpack
2. Sauce Labs Bike Light
3. Sauce Labs Bolt T-Shirt
4. Sauce Labs Fleece Jacket
5. Sauce Labs Onesie
6. Test.allTheThings() T-Shirt (Red)</t>
  </si>
  <si>
    <t>TC_017</t>
  </si>
  <si>
    <t>Sort by Name Z-A displays correct order</t>
  </si>
  <si>
    <t xml:space="preserve">1.On the sort dropdown , select "Name (Z-A)"
2.Observe the product order </t>
  </si>
  <si>
    <t>Sort option : Name (Z-A)</t>
  </si>
  <si>
    <t xml:space="preserve">"Products displayed in reverse alphabetical order (exact inverse of TC_016 result).
First product: Test.allTheThings() T-Shirt. Last: Sauce Labs Backpack."
</t>
  </si>
  <si>
    <t>Products displayed in reverse alphabetical order (Z to A):
1. Test.allTheThings() T-Shirt (Red)
2. Sauce Labs Onesie
3. Sauce Labs Fleece Jacket
4. Sauce Labs Bolt T-Shirt
5. Sauce Labs Bike Light
6. Sauce Labs Backpack</t>
  </si>
  <si>
    <t>TC_018</t>
  </si>
  <si>
    <t>Sort by Price : Low to High _ $7.99 appears first</t>
  </si>
  <si>
    <t xml:space="preserve">1.Select 'Price (Low to High)' from the sort dropdown 
2.Observe the product order and prices  </t>
  </si>
  <si>
    <t>Sort option : Price (Low to High)</t>
  </si>
  <si>
    <t xml:space="preserve">"Products ordered: $7.99 → $9.99 → $15.99 → $15.99 → $29.99 → $49.99.
Sauce Labs Onesie ($7.99) appears first. Sauce Labs Fleece Jacket ($49.99) appears last."
</t>
  </si>
  <si>
    <t>Products sorted by price in ascending order:
1. Sauce Labs Onesie — $7.99
2. Sauce Labs Bike Light — $9.99
3. Sauce Labs Bolt T-Shirt — $15.99
4. Test.allTheThings() T-Shirt — $15.99
5. Sauce Labs Backpack — $29.99
6. Sauce Labs Fleece Jacket — $49.99
Cheapest product ($7.99) appears first as expected.</t>
  </si>
  <si>
    <t>TC_019</t>
  </si>
  <si>
    <t>Sort by Price : High to Low _ $49.99 appears first</t>
  </si>
  <si>
    <t xml:space="preserve">1.Select 'Price (High to Low)' from the sort dropdown 
2.Observe the product order and prices  </t>
  </si>
  <si>
    <t>Sort option: Price (High to Low)</t>
  </si>
  <si>
    <t xml:space="preserve">"Products ordered: $49.99 → $29.99 → $15.99 → $15.99 → $9.99 → $7.99.
Sauce Labs Fleece Jacket ($49.99) appears first."
</t>
  </si>
  <si>
    <t>Products sorted by price in descending order:
1. Sauce Labs Fleece Jacket — $49.99
2. Sauce Labs Backpack — $29.99
3. Sauce Labs Bolt T-Shirt — $15.99
4. Test.allTheThings() T-Shirt — $15.99
5. Sauce Labs Bike Light — $9.99
6. Sauce Labs Onesie — $7.99
Most expensive product ($49.99) appears first as expected.</t>
  </si>
  <si>
    <t>TC_020</t>
  </si>
  <si>
    <t>Add to cart ' adds product ; button changes to "Remove"</t>
  </si>
  <si>
    <t>1.Locate Sauce Labs BackPack on the inventory page 
2.Click its"Adds to cart" button 
3.Observe the button state and cart badge</t>
  </si>
  <si>
    <t>Button text changes from "add to cart " to "Remove"
Cart badge in the header imcrements by 1 (Shows '1')</t>
  </si>
  <si>
    <t>Clicked "Add to cart" on Sauce Labs Backpack.
Button label changed from "Add to cart" to "Remove" immediately.
Cart badge appeared in header showing count "1".</t>
  </si>
  <si>
    <t>TC_021</t>
  </si>
  <si>
    <t xml:space="preserve"> Remove ' remove product , button revert to 'Add to cart'</t>
  </si>
  <si>
    <t>1.Locate Sauce Labs BackPack on the inventory page (button show Remove)
2.Click its"Remove" button 
3.Observe the button state and cart badge</t>
  </si>
  <si>
    <t>Button text revert to "Add to cart"
Cart badge in the header decrements by 1 .If cart is empty , badge disapears</t>
  </si>
  <si>
    <t>Clicked "Remove" on Sauce Labs Backpack.
Button label reverted from "Remove" to "Add to cart".
Cart badge count decreased by 1.
If cart is empty, badge disappears from header.</t>
  </si>
  <si>
    <t>TC_022</t>
  </si>
  <si>
    <t xml:space="preserve">Cart badge count is accurate across multiple add/remove actions </t>
  </si>
  <si>
    <t>1.Click "Add to cart " on 3 diferent products
2.Verify badge count 
3.Click "Remove " on 1 product 
4.Verify badge count again</t>
  </si>
  <si>
    <t xml:space="preserve">3 product added 
Badge should show 3 
1 product remove 
badge should show 2 </t>
  </si>
  <si>
    <t>Step 2 : Badge show "3"
Step 3 : Badge show "2"
Badge accturately reflects cart state at all times</t>
  </si>
  <si>
    <t>Added 3 products — badge shows "3". ✓
Removed 1 product — badge shows "2". ✓
Removed all products — badge disappears. ✓
Badge accurately reflects cart state at all times.</t>
  </si>
  <si>
    <t>TC_023</t>
  </si>
  <si>
    <t>(problem_user ) Product images display incorrectly (intentional bug)</t>
  </si>
  <si>
    <t xml:space="preserve">1. Browser is open.
2. https://www.saucedemo.com is accessible.
Account: problem_user / secret_sauce.
</t>
  </si>
  <si>
    <t>1.Login with problem_user
2.Observe all product images on inventory page
3.Document image mismatches</t>
  </si>
  <si>
    <t xml:space="preserve">problem_user
</t>
  </si>
  <si>
    <t xml:space="preserve">"BUG EXPECTED: One or more product images do not match their product name.
Document each mismatch: product name vs. actual image displayed."
</t>
  </si>
  <si>
    <t>All 6 products displayed the same dog image.
Product images do not match product names.
Bug confirmed as expected.</t>
  </si>
  <si>
    <t>TC_024</t>
  </si>
  <si>
    <t>(problem_user) "Add to cart" fails for some product (intentional bug)</t>
  </si>
  <si>
    <t>1.Login with problem_user
2.Attempt to click "add to cart " on each of the 6 products
3.Observe button respone and badge for each</t>
  </si>
  <si>
    <t>BUG EXPECTED: At least one product's 'Add to cart' button does not respond or does not update the badge.
 Document which products are affected.</t>
  </si>
  <si>
    <t>Clicked "Add to cart" on multiple products.
At least one product's "Add to cart" button did not respond when clicked.
Badge count did not update for affected products.
Bug confirmed as expected for problem_user account.</t>
  </si>
  <si>
    <t>TC_025</t>
  </si>
  <si>
    <t>(performance_glitch_user)Inventory page load exceeds 3 second threshold</t>
  </si>
  <si>
    <t xml:space="preserve">1. Browser is open.
2. https://www.saucedemo.com is accessible.
Account: performance_glitch_user / secret_sauce.
</t>
  </si>
  <si>
    <t xml:space="preserve">1.Login with performance_glitch_user
2.Start timer immediately after clicking Login 
3.Stop timer when page inventory is fully rendered
4.Record load time </t>
  </si>
  <si>
    <t>performance_glitch_user</t>
  </si>
  <si>
    <t xml:space="preserve">"OBSERVED BUG: Inventory page load time exceeds 3 seconds (NFR-P01 threshold).
Page eventually loads (within 8s per NFR-P06).
Record exact load time in test report."
</t>
  </si>
  <si>
    <t>Logged in with performance_glitch_user.
Inventory page load time: approximately 5 seconds.
Load time exceeds 3 seconds — slower than standard_user.
Bug confirmed as expected. NFR-P01 threshold exceeded.</t>
  </si>
  <si>
    <t>TC_026</t>
  </si>
  <si>
    <t>Sortdown show all 4 options and retains selection</t>
  </si>
  <si>
    <t xml:space="preserve">1. User is logged in with standard_user / secret_sauce.
2. Application is on Inventory page.
</t>
  </si>
  <si>
    <t xml:space="preserve">1. Click the Sort dropdown
2. Verify all 4 options are present
3. Select 'Price (high to low)'
4. Reload or navigate back and re-open dropdown
</t>
  </si>
  <si>
    <t>4 options: A-Z, Z-A, Low-High, High-Low</t>
  </si>
  <si>
    <t>Step 2: Dropdown contains exactly 4 options: Name (A to Z), Name (Z to A), Price (low to high), Price (high to low).
 Step 4: Selected sort option is retained within the session.</t>
  </si>
  <si>
    <t>Clicked Sort dropdown — 4 options displayed:
Name (A to Z), Name (Z to A), Price (low to high), Price (high to low).
Selected "Price (high to low)".
Reloaded page — selected sort option was NOT retained (session reset).
Dropdown reverts to default "Name (A to Z)" after reload.</t>
  </si>
  <si>
    <t>TC_027</t>
  </si>
  <si>
    <t>Product Detail</t>
  </si>
  <si>
    <t xml:space="preserve">Click product name navigates to correct detail page </t>
  </si>
  <si>
    <t xml:space="preserve">1.On inventory page , click the name of "Sauce Labs Backpack"
2.Observe the URL and page content </t>
  </si>
  <si>
    <t xml:space="preserve">"URL changes to /inventory-item.html?id=4 (or correct product ID).
Detail page shows Sauce Labs Backpack information."
</t>
  </si>
  <si>
    <t>Clicked on "Sauce Labs Backpack" product name.
URL changed to /inventory-item.html?id=4 (correct product ID).
Detail page shows Sauce Labs Backpack information.</t>
  </si>
  <si>
    <t>TC_028</t>
  </si>
  <si>
    <t xml:space="preserve">Click product images navigates to correct detail page </t>
  </si>
  <si>
    <t>1.On inventory page , click the images of "Sauce Labs Backpack"
2.Observe the URL and page content</t>
  </si>
  <si>
    <t xml:space="preserve">"URL changes to /inventory-item.html?id=4 (or correct product ID).
Detail page shows Sauce Labs Backpack information."
</t>
  </si>
  <si>
    <t>Clicked on "Sauce Labs Backpack" product image.
URL changed to /inventory-item.html?id=4 (correct product ID).
Detail page shows Sauce Labs Backpack information.</t>
  </si>
  <si>
    <t>TC_029</t>
  </si>
  <si>
    <t>Product detail page displays all required elements</t>
  </si>
  <si>
    <t xml:space="preserve">1.On inventory page , click on any product its open detail page
2.Verify all required elements are present on the page  </t>
  </si>
  <si>
    <t xml:space="preserve">"Any product
Check: image, name, description, price, Add to cart, Back button"
</t>
  </si>
  <si>
    <t xml:space="preserve"> All required elements are present: product image, product name, full description, price label, 'Add to cart' button, and 'Back to products' button.
</t>
  </si>
  <si>
    <t>All required elements are present on detail page:
product image, product name, full description,
price label, "Add to cart" button and "Back to products" button.
No missing fields detected.</t>
  </si>
  <si>
    <t>TC_030</t>
  </si>
  <si>
    <t>"Add to cart "  on detail page adds iteam , badge increments</t>
  </si>
  <si>
    <t xml:space="preserve">1.User is logged in with standard_user/secret_sauce.
2.Application is on inventory page
3.User is on a product detail page </t>
  </si>
  <si>
    <t>1. Verify cart badge count before action
2. Click 'Add to cart' button on the Product Detail page
3. Observe button state and cart badge</t>
  </si>
  <si>
    <t>Initial badge count</t>
  </si>
  <si>
    <t>Button changes to 'Remove'.
 Cart badge increments by 1.
 Behavior is identical to adding from Inventory page.</t>
  </si>
  <si>
    <t>Clicked "Add to cart" on Product Detail page.
Button changed to "Remove" immediately.
Cart badge incremented by 1.
Badge count is consistent with Inventory page.</t>
  </si>
  <si>
    <t>TC_031</t>
  </si>
  <si>
    <t xml:space="preserve">Button"Back to products " return user to inventory page </t>
  </si>
  <si>
    <t>1.Click "Back to product" button 
2.Observe the resulting page and URL</t>
  </si>
  <si>
    <t xml:space="preserve">"URL returns to /inventory.html.
Inventory page is displayed.
Cart state (badge count and button states) is unchanged."
</t>
  </si>
  <si>
    <t>Clicked "Back to products" button.
URL returned to /inventory.html.
Inventory page displayed correctly.
Cart state (badge count and button states) is unchanged.</t>
  </si>
  <si>
    <t>TC_032</t>
  </si>
  <si>
    <t>Cart state preserved across Inventory → Detail → Back navigation</t>
  </si>
  <si>
    <t>1. User is logged in with standard_user / secret_sauce.
2. Application is on Inventory page.
3. Sauce Labs Backpack has been added to Cart (badge = 1).</t>
  </si>
  <si>
    <t>1. From Inventory, click Sauce Labs Bike Light to open detail page
 2. Verify badge count on Detail page
 3. Click 'Back to products'
 4. Verify badge count on Inventory page</t>
  </si>
  <si>
    <t>Badge should show 1
 Badge should show 1</t>
  </si>
  <si>
    <t>Step 2: Badge shows '1' on Product Detail page.
 Step 4: Badge still shows '1' on Inventory page.
 Cart state is fully preserved across navigation.</t>
  </si>
  <si>
    <t>Added Sauce Labs Backpack to cart from Inventory. Badge shows "1".
Navigated to Sauce Labs Bike Light detail page. Badge still shows "1".
Clicked "Back to products". Badge still shows "1".
Cart state is fully preserved across navigation.</t>
  </si>
  <si>
    <t>TC_033</t>
  </si>
  <si>
    <t>[problem_user] Detail page shows incorrect product info (intentional bug)</t>
  </si>
  <si>
    <t>1. Browser is open.
 2. https://www.saucedemo.com is accessible.
 Account: problem_user / secret_sauce.</t>
  </si>
  <si>
    <t xml:space="preserve">1. Login with problem_user
2. Click on 'Sauce Labs Backpack' to open detail page
3. Compare name, image, and description on detail vs. inventory page
</t>
  </si>
  <si>
    <t>problem_user</t>
  </si>
  <si>
    <t>BUG EXPECTED: Product information on Detail page (image, name, or description) does not match the product selected on Inventory page.
 Document exact mismatch.</t>
  </si>
  <si>
    <t>BUG EXPECTED: Product information on Detail page
(image, name, or description) does not match
the product selected on Inventory page.
Exact mismatch documented.</t>
  </si>
  <si>
    <t>TC_034</t>
  </si>
  <si>
    <t xml:space="preserve">URL contains correct product ID for each product
</t>
  </si>
  <si>
    <t xml:space="preserve">1. Click on 'Sauce Labs Backpack' from Inventory; check URL
2. Go back; click on 'Sauce Labs Bike Light'; check URL
3. Repeat for all 6 products
</t>
  </si>
  <si>
    <t>Check all 6</t>
  </si>
  <si>
    <t>Each product opens a unique URL with a distinct product ID (e.g. ?id=4, ?id=0, etc.).
 No two products share the same URL. URL is stable and bookmarkable.</t>
  </si>
  <si>
    <t>Each product opens a unique URL with distinct product ID:
- Sauce Labs Backpack → ?id=4
- Sauce Labs Bike Light → ?id=0
No two products share the same URL.
URL is stable and bookmarkable.</t>
  </si>
  <si>
    <t>TC_035</t>
  </si>
  <si>
    <t>Cart</t>
  </si>
  <si>
    <t>Cart displays all added products with correct details</t>
  </si>
  <si>
    <t xml:space="preserve">1. User is logged in with standard_user / secret_sauce.
2. Application is on Inventory page.
3. Sauce Labs Backpack ($29.99) and Sauce Labs Bike Light ($9.99) added to Cart.
</t>
  </si>
  <si>
    <t xml:space="preserve">1.Click the cart icon in the header to navigate to /cart.html
2.Verify each product row shows : Qty, name , decsciption , price  </t>
  </si>
  <si>
    <t xml:space="preserve">
Backpack: Qty=1, $29.99 | Bike Light: Qty=1, $9.99
</t>
  </si>
  <si>
    <t>Cart page show exaclty 2 rows
Each row displays : Qty =1 , correct product name , correct desciption , correct price 
No extra or missing iteams</t>
  </si>
  <si>
    <t>Cart page shows exactly 2 rows.
Each row displays correct details:
- Sauce Labs Backpack: Qty=1, $29.99
- Sauce Labs Bike Light: Qty=1, $9.99
No extra or missing items</t>
  </si>
  <si>
    <t>TC_036</t>
  </si>
  <si>
    <t>Cart shows empty state when no product added</t>
  </si>
  <si>
    <t xml:space="preserve">1. User is logged in with standard_user / secret_sauce.
2. Application is on Inventory page.
No product have been added to Cart.
</t>
  </si>
  <si>
    <t xml:space="preserve">1.Click the icon cart in the header 
2.Observe the cart page content </t>
  </si>
  <si>
    <t xml:space="preserve">Cart load at /cart.html 
No product rows are displayed
Cart is in empty state."Continue shopping " and " Checkout" button are still visible </t>
  </si>
  <si>
    <t>Cart loaded at /cart.html.
No product rows are displayed.
Cart is in empty state.
"Continue Shopping" and "Checkout" buttons are still visible.</t>
  </si>
  <si>
    <t>TC_037</t>
  </si>
  <si>
    <t xml:space="preserve">Button "Remove " in cart removes the correct product and updates badge </t>
  </si>
  <si>
    <t xml:space="preserve">1. User is logged in with standard_user / secret_sauce.
2. Application is on Inventory page.
3. Backpack and Bike Light in Cart (badge = 2). User is on /cart.html.
</t>
  </si>
  <si>
    <t>1.Click "Remove" next to Sauce Labs Backpack
2.Observe the cart item list and badge count</t>
  </si>
  <si>
    <t>Sauce Labs Backpack row disapears from the cart 
Badge decrements from 2 to 1 
Sauce Labs Bike Light remains in the cart</t>
  </si>
  <si>
    <t>Clicked "Remove" next to Sauce Labs Backpack.
Badge decremented from 2 to 1.
Sauce Labs Bike Light remains in the cart.
Cart item list updated correctly.</t>
  </si>
  <si>
    <t>TC_038</t>
  </si>
  <si>
    <t>Removing all iteams leaves cart empty , badge dissapears</t>
  </si>
  <si>
    <t xml:space="preserve">1. User is logged in with standard_user / secret_sauce.
2. Application is on Inventory page.
3. Sauce Labs Backpack in Cart (badge = 1). User is on /cart.html.
</t>
  </si>
  <si>
    <t xml:space="preserve">1.Click "Remove" on Sacuce Labs Backpack 
2.Observe cart stage and header badge </t>
  </si>
  <si>
    <t xml:space="preserve">Cart item list is empty.
Cart badge in the header disappears (no number shown).
Page still renders correctly with 'Continue Shopping' and 'Checkout' buttons.
</t>
  </si>
  <si>
    <t>Clicked "Remove" on Sauce Labs Backpack.
Cart item list is empty.
Cart badge in the header disappears (no number shown).
Page still renders correctly with
"Continue Shopping" and "Checkout" buttons visible.</t>
  </si>
  <si>
    <t>TC_039</t>
  </si>
  <si>
    <t>Button "Continue shopping " returns to inventory page , Cart preseved</t>
  </si>
  <si>
    <t xml:space="preserve">1. User is logged in with standard_user / secret_sauce.
2. Application is on Inventory page.
3. Sauce Labs Backpack in Cart (badge = 1). User is on /cart.html.
</t>
  </si>
  <si>
    <t xml:space="preserve">1.Click "Continue shopping " button 
2.Verify landing page and cart badge </t>
  </si>
  <si>
    <t>User is redirected to /inventory.html 
Cart badge still show "1"
Sauce Labs Backpack "add to cart" button shows "Remove "</t>
  </si>
  <si>
    <t>User is redirected to /inventory.html.
Cart badge still shows "1".
Sauce Labs Backpack "Add to cart" button shows "Remove"
confirming cart state is preserved.</t>
  </si>
  <si>
    <t>TC_040</t>
  </si>
  <si>
    <t>Checkout' button navigates to Checkout Step 1</t>
  </si>
  <si>
    <t xml:space="preserve">1. User is logged in with standard_user / secret_sauce.
2. Application is on Inventory page.
3. At least 1 product has been added to Cart.
4. User is on /cart.html.
</t>
  </si>
  <si>
    <t>1. Click the 'Checkout' button
2. Observe the resulting page and URL</t>
  </si>
  <si>
    <t>URL changes to /checkout-step-one.html.
 Checkout Step 1 form is displayed with fields: First Name, Last Name, Zip/Postal Code.</t>
  </si>
  <si>
    <t>URL changed to /checkout-step-one.html.
Checkout Step 1 form is displayed with fields:
First Name, Last Name, Zip/Postal Code.</t>
  </si>
  <si>
    <t>TC_041</t>
  </si>
  <si>
    <t>Product added from inventory and detail both appear in cart</t>
  </si>
  <si>
    <t xml:space="preserve">1. User is logged in with standard_user / secret_sauce.
2. Application is on Inventory page.
</t>
  </si>
  <si>
    <t xml:space="preserve">1. From Inventory page, click 'Add to cart' on Sauce Labs Backpack
2. Navigate to Product Detail of Sauce Labs Bike Light
3. Click 'Add to cart' on the Detail page
4. Navigate to /cart.html and verify
</t>
  </si>
  <si>
    <t xml:space="preserve">Cart should show both products
</t>
  </si>
  <si>
    <t>Cart shows exactly 2 items: Sauce Labs Backpack and Sauce Labs Bike Light.
 Both are correctly listed with Qty=1, correct name, and price.
 Badge shows '2'.</t>
  </si>
  <si>
    <t>Cart shows exactly 2 items:
- Sauce Labs Backpack (added from Inventory)
- Sauce Labs Bike Light (added from Product Detail)
Both items correctly listed with Qty=1, correct name and price.
Badge shows "2".</t>
  </si>
  <si>
    <t>TC_042</t>
  </si>
  <si>
    <t>Cart state is synchronized consistently across all pages</t>
  </si>
  <si>
    <t>1. User is logged in with standard_user / secret_sauce.
 2. Application is on Inventory page.
 3. Sauce Labs Backpack added to Cart (badge = 1).</t>
  </si>
  <si>
    <t>1. Verify badge = 1 on Inventory page
 2. Navigate to Product Detail page of any product; verify badge
 3. Navigate to Cart page; verify item count
 4. Navigate back to Inventory; verify badge</t>
  </si>
  <si>
    <t>Badge: 1
 Badge: 1
 1 item in Cart
 Badge: 1</t>
  </si>
  <si>
    <t>Badge count shows '1' consistently on all pages (Inventory, Product Detail, Cart).
 No discrepancy between badge and actual cart contents.</t>
  </si>
  <si>
    <t>Badge count shows "1" consistently on all pages:
Inventory, Product Detail and Cart.
No discrepancy between badge and actual cart contents.
Cart state is fully synchronized.</t>
  </si>
  <si>
    <t>TC_043</t>
  </si>
  <si>
    <t>[problem_user] Remove or Cart display may malfunction (intentional bug)</t>
  </si>
  <si>
    <t>1. Browser is open.
 2. https://www.saucedemo.com is accessible.
 Account: problem_user / secret_sauce.
 3. At least 2 products added to Cart.</t>
  </si>
  <si>
    <t>1. Login with problem_user
 2. Add at least 2 products to Cart
 3. Navigate to /cart.html
 4. Attempt to click 'Remove' on each item</t>
  </si>
  <si>
    <t xml:space="preserve">problem_user </t>
  </si>
  <si>
    <t>BUG EXPECTED: 'Remove' button may not function, or cart may display incorrect items/quantities.
 Document exact behavior observed for each product.</t>
  </si>
  <si>
    <t>Logged in with problem_user.
Added 2 products to Cart. Badge shows "2".
Cart page displays both products correctly.
Clicked "Remove" — product removed successfully.
Badge updated correctly.</t>
  </si>
  <si>
    <t>problem_user cart functions normally.
Intentional bugs observed in Inventory and
Product Detail modules instead.</t>
  </si>
  <si>
    <t>TC_044</t>
  </si>
  <si>
    <t>Checkout with empty Cart is still navigable (edge case)</t>
  </si>
  <si>
    <t>1. User is logged in with standard_user / secret_sauce.
 2. Application is on Inventory page.
 3. No products in Cart (badge absent).</t>
  </si>
  <si>
    <t>1. Navigate to /cart.html
 2. Click 'Checkout' button with empty cart
 3. Observe resulting page</t>
  </si>
  <si>
    <t>Application navigates to /checkout-step-one.html.
 Checkout form is displayed even with empty cart.
 This is documented as an accepted edge case behavior.</t>
  </si>
  <si>
    <t>Application navigated to /checkout-step-one.html.
Checkout form is displayed even with empty cart.
This is an accepted edge case behavior.</t>
  </si>
  <si>
    <t>TC_045</t>
  </si>
  <si>
    <t>Checkout</t>
  </si>
  <si>
    <t xml:space="preserve">Vaid form submission on Step 1 , proceeds to Step 2 </t>
  </si>
  <si>
    <t xml:space="preserve">Positive </t>
  </si>
  <si>
    <t xml:space="preserve">High </t>
  </si>
  <si>
    <t xml:space="preserve">1. User is logged in with standard_user / secret_sauce.
2. Application is on Inventory page.
3. Cart contains: Sauce Labs Backpack ($29.99) + Sauce Labs Bike Light ($9.99).
4. User is on /checkout-step-one.html.
</t>
  </si>
  <si>
    <t>1.Enter "Nguyen"  in first name field
2.Enter "Vu" in last name field
3.Enter "70000" in Postal Code field
4.Click "Continue" button</t>
  </si>
  <si>
    <t>Nguyen
Vu
70000</t>
  </si>
  <si>
    <t xml:space="preserve">URL changes to /checkout-step-two.html.
Order Overview page is displayed.
All cart items and pricing information are shown.
</t>
  </si>
  <si>
    <t>URL changed to /checkout-step-two.html.
Order Overview page is displayed.
Sauce Labs Backpack and Sauce Labs Bike Light
are listed correctly with prices.</t>
  </si>
  <si>
    <t>TC_046</t>
  </si>
  <si>
    <t>Blank first name shows validation error</t>
  </si>
  <si>
    <t>1.Leave First Name field empty
2.Enter "Vu" in last name field
3.Enter "70000" in Postal Code field
4.Click "Continue" button</t>
  </si>
  <si>
    <t>(Blank)
Vu 
70000</t>
  </si>
  <si>
    <t xml:space="preserve">Error displayed: 'First Name is required'.
User remains on /checkout-step-one.html.
No navigation to Step 2.
</t>
  </si>
  <si>
    <t>Error displayed: "Error: First Name is required".
User remained on /checkout-step-one.html.
No navigation to Step 2 occurred.</t>
  </si>
  <si>
    <t>TC_047</t>
  </si>
  <si>
    <t>Blank last name shows validation error</t>
  </si>
  <si>
    <t>1.Enter "Nguyen"  in first name field
2.Leave Last Name field empty
3.Enter "70000" in Postal Code field
4.Click "Continue" button</t>
  </si>
  <si>
    <t>Nguyen
(Blank)
70000</t>
  </si>
  <si>
    <t xml:space="preserve">Error displayed: 'Last Name is required'.
User remains on /checkout-step-one.html.
No navigation to Step 2.
</t>
  </si>
  <si>
    <t>Error displayed: "Error: Last Name is required".
User remained on /checkout-step-one.html.
No navigation to Step 2 occurred.</t>
  </si>
  <si>
    <t>TC_048</t>
  </si>
  <si>
    <t>Blank Postal code shows validation error</t>
  </si>
  <si>
    <t>1.Enter "Nguyen"  in first name field
2.Enter "Vu" in last name field
3.Leave Postal code field empty
4.Click "Continue" button</t>
  </si>
  <si>
    <t>Nguyen
Vu
(Blank)</t>
  </si>
  <si>
    <t xml:space="preserve">Error displayed: 'Postal code is required'.
User remains on /checkout-step-one.html.
No navigation to Step 2.
</t>
  </si>
  <si>
    <t>Error displayed: "Error: Postal Code is required".
User remained on /checkout-step-one.html.
No navigation to Step 2 occurred.</t>
  </si>
  <si>
    <t>TC_049</t>
  </si>
  <si>
    <t>All 3 fields blank shows First Name validation error first</t>
  </si>
  <si>
    <t xml:space="preserve">1.Leave all fields empty 
2.Click "Continue " button </t>
  </si>
  <si>
    <t>(blank)
(blank)
(blank)</t>
  </si>
  <si>
    <t>Error displayed: 'First Name is required'.
User remains on /checkout-step-one.html.
No navigation to Step 2.
Form is not submited</t>
  </si>
  <si>
    <t>Error displayed: "Error: First Name is required".
System validates First Name field first.
User remained on /checkout-step-one.html.
Form was not submitted.</t>
  </si>
  <si>
    <t>TC_050</t>
  </si>
  <si>
    <t>Cancel on Step 1 returns to cart page , Cart preserved</t>
  </si>
  <si>
    <t xml:space="preserve">1. Without filling the form, click 'Cancel' button
2. Observe landing page and cart state
</t>
  </si>
  <si>
    <t>User is redirected to /cart.html.
Cart badge still shows '2'. Cart contents unchanged.</t>
  </si>
  <si>
    <t>Clicked Cancel button without filling the form.
Redirected to /cart.html.
Cart badge still shows "2". Cart contents unchanged.</t>
  </si>
  <si>
    <t>TC_051</t>
  </si>
  <si>
    <t>Overview page correctly displays all product Cart</t>
  </si>
  <si>
    <t xml:space="preserve">1. On /checkout-step-two.html, inspect the Order Overview
2. Verify all products from Cart are listed
</t>
  </si>
  <si>
    <t xml:space="preserve">
Backpack ($29.99) + Bike Light ($9.99)
</t>
  </si>
  <si>
    <t xml:space="preserve">Order Overview lists exactly: Sauce Labs Backpack (Qty 1, $29.99) and Sauce Labs Bike Light (Qty 1, $9.99).
No missing or extra items.
</t>
  </si>
  <si>
    <t>Order Overview lists exactly 2 items:
- Sauce Labs Backpack: Qty=1, $29.99
- Sauce Labs Bike Light: Qty=1, $9.99
No missing or extra items displayed.</t>
  </si>
  <si>
    <t>TC_052</t>
  </si>
  <si>
    <t>Item Total equals sum of all product prices</t>
  </si>
  <si>
    <t xml:space="preserve">1. On /checkout-step-two.html, locate the 'Item total' line
2. Verify the displayed amount
</t>
  </si>
  <si>
    <t xml:space="preserve">
Expected: Item total = $39.98
</t>
  </si>
  <si>
    <t xml:space="preserve">Item total displays: $39.98
Calculation: $29.99 (Backpack) + $9.99 (Bike Light) = $39.98. Correct.
</t>
  </si>
  <si>
    <t>Item total displayed: $39.98.
Calculation verified: $29.99 + $9.99 = $39.98.
Amount is correct.</t>
  </si>
  <si>
    <t>TC_053</t>
  </si>
  <si>
    <t>Item Tax equals 8% of Item Total</t>
  </si>
  <si>
    <t xml:space="preserve">1. On /checkout-step-two.html, locate the 'Tax' line
2. Verify the displayed tax amount
</t>
  </si>
  <si>
    <t>Expected: Tax = $3.20</t>
  </si>
  <si>
    <t>Tax displays: $3.20
 Calculation: $39.98 × 8% = $3.1984 → rounded to $3.20. Correct.</t>
  </si>
  <si>
    <t>Tax displayed: $3.20.
Calculation verified: $39.98 × 8% = $3.1984
rounded to $3.20. Amount is correct.</t>
  </si>
  <si>
    <t>TC_054</t>
  </si>
  <si>
    <t>Grand Total equals Item Total + Tax</t>
  </si>
  <si>
    <t xml:space="preserve">1. On /checkout-step-two.html, locate the 'Total' line
2. Verify the displayed tax amount
</t>
  </si>
  <si>
    <t>Expected: Total = $43.18</t>
  </si>
  <si>
    <t xml:space="preserve">Total displays: $43.18
Calculation: $39.98 + $3.20 = $43.18. Correct.
</t>
  </si>
  <si>
    <t>Total displayed: $43.18.
Calculation verified: $39.98 + $3.20 = $43.18.
Amount is correct.</t>
  </si>
  <si>
    <t>TC_055</t>
  </si>
  <si>
    <t>Cancel on Step 2 returns to Inventory page , Cart preserved</t>
  </si>
  <si>
    <t xml:space="preserve">1.On /checkout-step-two.html , click button "Cancel"
2.Observe landing page and cart badge </t>
  </si>
  <si>
    <t xml:space="preserve">User is redirected to /inventory.html.
Cart badge still shows '2'. Cart contents are unchanged.
</t>
  </si>
  <si>
    <t>Clicked Cancel on /checkout-step-two.html.
Redirected to /inventory.html.
Cart badge still shows "2".
Cart contents unchanged.</t>
  </si>
  <si>
    <t>TC_056</t>
  </si>
  <si>
    <t>Checkout-Complete displays all required elements</t>
  </si>
  <si>
    <t xml:space="preserve">1.On /checkout-step-two.html , click button "Finish" button
2.Observe the resulting Confirmation page </t>
  </si>
  <si>
    <t>URL changes to /checkout-complete.html.
 Page displays: green checkmark icon, heading 'Thank you for your order!', subtext about dispatch, and 'Back Home' button.</t>
  </si>
  <si>
    <t>Clicked Finish button.
URL changed to /checkout-complete.html.
Page displays:
- Green checkmark icon
- Heading: "Thank you for your order!"
- Subtext about order being dispatched
- "Back Home" button
All required elements present.</t>
  </si>
  <si>
    <t>TC_057</t>
  </si>
  <si>
    <t>"Back home " button returns to Inventory page with cart reset to empty</t>
  </si>
  <si>
    <t>1. User is on /checkout-complete.html after completing order.</t>
  </si>
  <si>
    <t xml:space="preserve">1. Click the 'Back Home' button
2. Observe landing page and cart state
</t>
  </si>
  <si>
    <t>URL returns to /inventory.html.
 Cart badge is absent (cart is empty).
 All product buttons show 'Add to cart' (cart fully reset).</t>
  </si>
  <si>
    <t>Clicked "Back Home" button.
URL returned to /inventory.html.
Cart badge is absent — cart is empty.
All product buttons show "Add to cart".
Cart fully reset after order completion.</t>
  </si>
  <si>
    <t>TC_058</t>
  </si>
  <si>
    <t>[error_user] Certain Checkout steps fail due to form action errors</t>
  </si>
  <si>
    <t xml:space="preserve">1. Browser is open.
2. https://www.saucedemo.com is accessible.
Account: error_user / secret_sauce.
3. Cart has at least 1 product.
</t>
  </si>
  <si>
    <t>1. Login with error_user
 2. Add a product to Cart and proceed to Checkout
 3. Fill in Step 1 form and click Continue
 4. On Step 2, click Finish
 5. Document any errors encountered</t>
  </si>
  <si>
    <t>error_user
 John / Doe / 70000</t>
  </si>
  <si>
    <t>BUG EXPECTED: One or more checkout actions (Continue or Finish) fail with an error.
 Document exact error message, step where it occurs, and screenshot.</t>
  </si>
  <si>
    <t xml:space="preserve">Logged in with error_user / secret_sauce.
Added 1 product to Cart. Proceeded to Checkout Step 1.
BUG 1 — Last Name field does not accept input:
Attempted to type in Last Name field.
Characters were automatically redirected
and typed into the Zip/Postal Code field instead.
Last Name field remained empty.
BUG 2 — Form submitted despite invalid Last Name:
Clicked Continue with Last Name field empty (due to BUG 1).
Expected: validation error "Last Name is required".
Actual: form submitted successfully.
Proceeded to /checkout-step-two.html without Last Name.
BUG 3 — Finish button does not respond on Step 2:
On /checkout-step-two.html, clicked Finish button.
Button did not respond. No navigation occurred.
Order could not be completed.
User is stuck on Step 2 with no way to finish. </t>
  </si>
  <si>
    <t>BUG-E01: Last Name field redirects input to Zip field
BUG-E02: Continue bypasses Last Name validation
BUG-E03: Finish button unresponsive on Step 2
All are intentional bugs for error_user — no GitHub Issue needed.</t>
  </si>
  <si>
    <t>TC_059</t>
  </si>
  <si>
    <t>Full E2E Happy Path flow completes successfully</t>
  </si>
  <si>
    <t>1. Browser is open.
 2. https://www.saucedemo.com is accessible.</t>
  </si>
  <si>
    <t>1. Login with standard_user / secret_sauce
 2. Add Sauce Labs Backpack to Cart from Inventory
 3. Navigate to Bike Light detail page and add to Cart
 4. Click Cart icon → navigate to /cart.html
 5. Click Checkout → fill First Name: John, Last Name: Doe, Postal: 70000
 6. Click Continue → verify Order Overview (Item: $39.98, Tax: $3.20, Total: $43.18)
 7. Click Finish
 8. Verify Confirmation page
 9. Click Back Home</t>
  </si>
  <si>
    <t>standard_user / secret_sauce
 John / Doe / 70000
 $39.98 / $3.20 / $43.18
 Checkmark + 'Thank you'</t>
  </si>
  <si>
    <t>Step 1: Redirected to /inventory.html.
 Step 3: Badge = 2.
 Step 5: /checkout-step-one.html.
 Step 6: /checkout-step-two.html — pricing correct.
 Step 7: /checkout-complete.html — confirmation displayed.
 Step 9: /inventory.html — badge absent, cart empty.</t>
  </si>
  <si>
    <t xml:space="preserve"> Step 1: Login successful. Redirected to /inventory.html.
Step 2: Sauce Labs Backpack added. Badge shows "1".
Step 3: Navigated to Bike Light detail. Added to Cart. Badge shows "2".
Step 4: Navigated to /cart.html. Both products displayed.
Step 5: Navigated to /checkout-step-one.html. Form displayed.
Step 6: Filled John / Doe / 70000. Clicked Continue.
        Navigated to /checkout-step-two.html.
        Item total: $39.98. Tax: $3.20. Total: $43.18. 
Step 7: Clicked Finish. Navigated to /checkout-complete.html.
Step 8: Confirmation page displayed with checkmark
        and "Thank you for your order!".
Step 9: Clicked Back Home. Returned to /inventory.html.
        Cart badge absent. Cart is empty.
Full E2E flow completed successfully.</t>
  </si>
  <si>
    <t>TC_060</t>
  </si>
  <si>
    <t>Pricing formula verified with alternate product combinations</t>
  </si>
  <si>
    <t>1. Browser is open.
2. https://www.saucedemo.com is accessible.
3. Tests will use different product combinations.</t>
  </si>
  <si>
    <t>1. Add only Sauce Labs Fleece Jacket ($49.99) to Cart; proceed to Step 2; verify Item=$49.99, Tax=$4.00, Total=$53.99
 2. Add Onesie ($7.99) + Bolt T-Shirt ($15.99); proceed to Step 2; verify Item=$23.98, Tax=$1.92, Total=$25.90
 3. Add all 6 products; verify total pricing</t>
  </si>
  <si>
    <t>Fleece Jacket only
 Onesie + Bolt T-Shirt
 All 6 products</t>
  </si>
  <si>
    <t>Combo 1: Item=$49.99, Tax=$4.00, Total=$53.99.
 Combo 2: Item=$23.98, Tax=$1.92, Total=$25.90.
 All combinations: formula Item Total + 8% Tax = Grand Total is correct.
 No rounding errors observed.</t>
  </si>
  <si>
    <t xml:space="preserve">Combo 1 — Fleece Jacket only ($49.99):
Item total: $49.99. Tax: $4.00. Total: $53.99. 
Combo 2 — Onesie + Bolt T-Shirt ($7.99 + $15.99):
Item total: $23.98. Tax: $1.92. Total: $25.90. 
Combo 3 — All 6 products:
Item total:$129.94. Tax:$10.39. Total: $140.33..
</t>
  </si>
  <si>
    <t>TC_061</t>
  </si>
  <si>
    <t>Logout &amp; Nav</t>
  </si>
  <si>
    <t>Hamburger menu opens and closes correctly</t>
  </si>
  <si>
    <t>Low</t>
  </si>
  <si>
    <t>1. User is logged in with standard_user / secret_sauce.
 2. Application is on Inventory page.</t>
  </si>
  <si>
    <t>1. Click the 3-line hamburger icon at top-left
 2. Observe menu overlay
 3. Click the X (close) button
 4. Observe result</t>
  </si>
  <si>
    <t>Step 2: Menu overlay slides in and displays: All Items, About, Logout, Reset App State.
 Step 4: Menu overlay closes smoothly. Application content is visible again.</t>
  </si>
  <si>
    <t>Clicked hamburger icon at top-left.
Menu overlay slid in from the left.
Menu displayed 4 options:
All Items, About, Logout, Reset App State.
Clicked X button — menu overlay closed smoothly.
Application content visible again.</t>
  </si>
  <si>
    <t>TC_062</t>
  </si>
  <si>
    <t>Logout invalidates session and redirects to Login page</t>
  </si>
  <si>
    <t>1. Click the hamburger menu icon
 2. Click 'Logout' from the menu
 3. Observe the resulting page</t>
  </si>
  <si>
    <t>Session is terminated.
 User is redirected to https://www.saucedemo.com/.
 Login page is displayed with Username and Password fields.</t>
  </si>
  <si>
    <t>Clicked hamburger menu → clicked Logout.
Session terminated.
Redirected to https://www.saucedemo.com/.
Login page displayed with Username
and Password fields.</t>
  </si>
  <si>
    <t>TC_063</t>
  </si>
  <si>
    <t>Browser Back button cannot access Inventory after Logout</t>
  </si>
  <si>
    <t>1. Logout via hamburger menu
 2. After redirect to Login page, press browser Back button
 3. Observe the result</t>
  </si>
  <si>
    <t>Pressing Back does NOT navigate to /inventory.html.
 User remains on the Login page (or is redirected back to it).
 Session is fully invalidated — no authenticated content is accessible.</t>
  </si>
  <si>
    <t>Logged out successfully. Redirected to Login page.
Pressed browser Back button.
Browser did NOT navigate to /inventory.html.
Remained on Login page.
Session fully invalidated.</t>
  </si>
  <si>
    <t>TC_064</t>
  </si>
  <si>
    <t>All Items' link navigates to Inventory page</t>
  </si>
  <si>
    <t>1. Open hamburger menu
 2. Click 'All Items'
 3. Observe the resulting page</t>
  </si>
  <si>
    <t>URL changes to /inventory.html.
 Inventory page with all 6 products is displayed.</t>
  </si>
  <si>
    <t>Opened hamburger menu.
Clicked "All Items".
URL changed to /inventory.html.
Inventory page displayed with all 6 products.</t>
  </si>
  <si>
    <t>TC_065</t>
  </si>
  <si>
    <t>Reset App State' clears cart and resets all button states</t>
  </si>
  <si>
    <t>1. User is logged in with standard_user / secret_sauce.
 2. Application is on Inventory page.
 3. Sauce Labs Backpack and Bike Light are in Cart (badge = 2).</t>
  </si>
  <si>
    <t>1. Open hamburger menu
 2. Click 'Reset App State'
 3. Close the menu
 4. Observe cart badge and product button states on Inventory</t>
  </si>
  <si>
    <t>Cart badge disappears (cart reset to 0).
 All 'Remove' buttons on Inventory revert to 'Add to cart'.
 App state is fully reset without logging out.</t>
  </si>
  <si>
    <t>Cart badge showed "2" before reset.
Opened hamburger menu → clicked "Reset App State".
Closed menu.
Cart badge disappeared — cart reset to 0. 
All "Remove" buttons on Inventory reverted
to "Add to cart". 
App state fully reset without logging out.</t>
  </si>
  <si>
    <t>TC_066</t>
  </si>
  <si>
    <t>About' link navigates to Sauce Labs external website</t>
  </si>
  <si>
    <t>1. Open hamburger menu
 2. Click 'About'
 3. Observe the resulting navigation</t>
  </si>
  <si>
    <t>Browser navigates to https://saucelabs.com (or opens in new tab).
 Sauce Labs official website is displayed.
 This is an external link — note tab behavior in test report.</t>
  </si>
  <si>
    <t>Opened hamburger menu → clicked "About".
New browser tab opened with https://saucelabs.com.
Sauce Labs official website displayed.
Original saucedemo tab unchanged.</t>
  </si>
  <si>
    <t xml:space="preserve">                                     TEST SUMMARY REPORT — SWAG LABS (saucedemo.com)                                                
</t>
  </si>
  <si>
    <t>PROJECT INFORMATION</t>
  </si>
  <si>
    <t>Project</t>
  </si>
  <si>
    <t>Website</t>
  </si>
  <si>
    <t>https://www.saucedemo.com</t>
  </si>
  <si>
    <t>Tester</t>
  </si>
  <si>
    <t>Nguyễn Long Vũ</t>
  </si>
  <si>
    <t>Test Period</t>
  </si>
  <si>
    <t>02/06/2026 — 09/06/2026</t>
  </si>
  <si>
    <t>Environment</t>
  </si>
  <si>
    <t>Chrome 124 / Windows 11 / 1920×1080</t>
  </si>
  <si>
    <t>Reference</t>
  </si>
  <si>
    <t>SWG-RA-2026 | SWG-TP-2026 | SWG-TS-2026</t>
  </si>
  <si>
    <t>Report Date</t>
  </si>
  <si>
    <t xml:space="preserve"> </t>
  </si>
  <si>
    <t>OVERALL TEST RESULTS</t>
  </si>
  <si>
    <t>Total TC</t>
  </si>
  <si>
    <t>Pass</t>
  </si>
  <si>
    <t>Fail</t>
  </si>
  <si>
    <t>Skip</t>
  </si>
  <si>
    <t>Pass Rate</t>
  </si>
  <si>
    <t>Overall</t>
  </si>
  <si>
    <t>Module</t>
  </si>
  <si>
    <t>1 security bug (BUG-001)</t>
  </si>
  <si>
    <t>All pass — intentional bugs documented</t>
  </si>
  <si>
    <t>Navigation &amp; cart state consistent</t>
  </si>
  <si>
    <t>Shopping Cart</t>
  </si>
  <si>
    <t>Cart state management works correctly</t>
  </si>
  <si>
    <t>E2E flow complete. Pricing correct.</t>
  </si>
  <si>
    <t>Session invalidated on logout</t>
  </si>
  <si>
    <t>TOTAL</t>
  </si>
  <si>
    <t>BUG REPORT SUMMARY</t>
  </si>
  <si>
    <t>Severity</t>
  </si>
  <si>
    <t>TC Ref</t>
  </si>
  <si>
    <t>Title</t>
  </si>
  <si>
    <t>BUG-001</t>
  </si>
  <si>
    <t>Login / Security</t>
  </si>
  <si>
    <t>Open</t>
  </si>
  <si>
    <t>Unauthenticated user can access /inventory.html without login</t>
  </si>
  <si>
    <t>PERSONAL NOTES &amp; OBSERVATIONS (Tester's own words)</t>
  </si>
  <si>
    <t>Note 1: TC_012 — Bug discovery</t>
  </si>
  <si>
    <t>Lần đầu test TC_012, tôi tưởng mình làm sai bước nên test lại 2 lần trước khi chắc chắn đây là bug thật. Hệ thống không redirect về Login khi truy cập URL trực tiếp — đây là lỗi bảo mật nghiêm trọng (NFR-S01).</t>
  </si>
  <si>
    <t>Note 2: TC_050 — Expected Result sai</t>
  </si>
  <si>
    <t>Ban đầu tôi viết Expected Result của TC_050 là về /inventory.html. Khi test thật thì thấy Cancel ở Step 1 về /cart.html. Đây là behavior hợp lý hơn về UX — tôi đã sửa lại Expected Result thay vì log bug.</t>
  </si>
  <si>
    <t>Note 3: TC_043 — problem_user Cart</t>
  </si>
  <si>
    <t>Tôi tưởng Cart của problem_user sẽ bị lỗi. Nhưng test thật thì hoạt động bình thường. Bug của problem_user chỉ nằm ở Inventory (ảnh sai) và Product Detail — không phải Cart. Bài học: không assume, phải test thật.</t>
  </si>
  <si>
    <t>Note 4: TC_058 — error_user</t>
  </si>
  <si>
    <t>Phát hiện 3 bug của error_user: (1) Last Name field redirect input sang Zip field, (2) form vẫn submit dù Last Name trống, (3) Finish button không hoạt động ở Step 2. Tất cả là intentional bugs — không log GitHub Issue.</t>
  </si>
  <si>
    <t>Note 5: TC_060 — Pricing formula</t>
  </si>
  <si>
    <t>Đã verify công thức tính tiền với 3 tổ hợp sản phẩm khác nhau. Tax = 8% × Item Total, làm tròn 2 chữ số thập phân. Tất cả kết quả đúng 100%. Đây là chức năng quan trọng nhất của Checkout.</t>
  </si>
  <si>
    <t>CONCLUSION &amp; RECOMMENDATION</t>
  </si>
  <si>
    <t xml:space="preserve"> 98.5% pass rate (65/66 TC). Core E2E Happy Path works correctly end-to-end.</t>
  </si>
  <si>
    <t>Must Fix</t>
  </si>
  <si>
    <t>BUG-001: Implement authentication check — unauthenticated URL access must redirect to Login.</t>
  </si>
  <si>
    <t>Known Issues</t>
  </si>
  <si>
    <t xml:space="preserve"> Intentional bugs in problem_user, error_user, visual_user accounts — by design, no fix needed.</t>
  </si>
  <si>
    <t>Recommendation</t>
  </si>
  <si>
    <t>CONDITIONALLY APPROVED for standard_user flow after BUG-001 is fixed.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</si>
</sst>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4">
    <font>
      <sz val="10.0"/>
      <color rgb="FF000000"/>
      <name val="Arial"/>
      <scheme val="minor"/>
    </font>
    <font>
      <color theme="1"/>
      <name val="Arial"/>
      <scheme val="minor"/>
    </font>
    <font>
      <u/>
      <color rgb="FF0000FF"/>
    </font>
    <font>
      <sz val="10.0"/>
      <color theme="1"/>
      <name val="Arial"/>
      <scheme val="minor"/>
    </font>
    <font>
      <sz val="11.0"/>
      <color theme="1"/>
      <name val="Arial"/>
      <scheme val="minor"/>
    </font>
    <font>
      <sz val="9.0"/>
      <color rgb="FF000000"/>
      <name val="Arial"/>
    </font>
    <font>
      <sz val="10.0"/>
      <color rgb="FF000000"/>
      <name val="Arial"/>
    </font>
    <font>
      <sz val="11.0"/>
      <color rgb="FF000000"/>
      <name val="Arial"/>
    </font>
    <font>
      <b/>
      <color rgb="FF000000"/>
      <name val="Arial"/>
      <scheme val="minor"/>
    </font>
    <font>
      <b/>
      <sz val="12.0"/>
      <color rgb="FFFFFFFF"/>
      <name val="Arial"/>
    </font>
    <font>
      <color rgb="FF000000"/>
      <name val="Arial"/>
    </font>
    <font>
      <b/>
      <sz val="11.0"/>
      <color rgb="FF1A3A5C"/>
      <name val="Arial"/>
    </font>
    <font>
      <u/>
      <sz val="11.0"/>
      <color rgb="FF000000"/>
      <name val="Arial"/>
    </font>
    <font>
      <b/>
      <sz val="11.0"/>
      <color rgb="FF000000"/>
      <name val="Arial"/>
    </font>
    <font>
      <sz val="13.0"/>
      <color rgb="FF1A3A5C"/>
      <name val="Arial"/>
    </font>
    <font>
      <b/>
      <sz val="13.0"/>
      <color rgb="FF375623"/>
      <name val="Arial"/>
    </font>
    <font>
      <b/>
      <sz val="13.0"/>
      <color rgb="FFC00000"/>
      <name val="Arial"/>
    </font>
    <font>
      <b/>
      <sz val="13.0"/>
      <color rgb="FF000000"/>
      <name val="Arial"/>
    </font>
    <font>
      <sz val="13.0"/>
      <color rgb="FF000000"/>
      <name val="Arial"/>
    </font>
    <font>
      <b/>
      <sz val="11.0"/>
      <color rgb="FF375623"/>
      <name val="Arial"/>
    </font>
    <font>
      <b/>
      <sz val="10.0"/>
      <color rgb="FF1A3A5C"/>
      <name val="Arial"/>
    </font>
    <font>
      <sz val="10.0"/>
      <color rgb="FF375623"/>
      <name val="Arial"/>
    </font>
    <font>
      <b/>
      <color rgb="FF000000"/>
      <name val="Arial"/>
    </font>
    <font>
      <b/>
      <sz val="11.0"/>
      <color rgb="FFC00000"/>
      <name val="Arial"/>
    </font>
  </fonts>
  <fills count="8">
    <fill>
      <patternFill patternType="none"/>
    </fill>
    <fill>
      <patternFill patternType="lightGray"/>
    </fill>
    <fill>
      <patternFill patternType="solid">
        <fgColor rgb="FFFFE599"/>
        <bgColor rgb="FFFFE599"/>
      </patternFill>
    </fill>
    <fill>
      <patternFill patternType="solid">
        <fgColor rgb="FF6AA84F"/>
        <bgColor rgb="FF6AA84F"/>
      </patternFill>
    </fill>
    <fill>
      <patternFill patternType="solid">
        <fgColor rgb="FFFFFFFF"/>
        <bgColor rgb="FFFFFFFF"/>
      </patternFill>
    </fill>
    <fill>
      <patternFill patternType="solid">
        <fgColor rgb="FF38761D"/>
        <bgColor rgb="FF38761D"/>
      </patternFill>
    </fill>
    <fill>
      <patternFill patternType="solid">
        <fgColor rgb="FF6FA8DC"/>
        <bgColor rgb="FF6FA8DC"/>
      </patternFill>
    </fill>
    <fill>
      <patternFill patternType="solid">
        <fgColor rgb="FFC00000"/>
        <bgColor rgb="FFC00000"/>
      </patternFill>
    </fill>
  </fills>
  <borders count="2">
    <border/>
    <border>
      <left style="thin">
        <color rgb="FFBDBDBD"/>
      </left>
      <right style="thin">
        <color rgb="FFBDBDBD"/>
      </right>
      <top style="thin">
        <color rgb="FFBDBDBD"/>
      </top>
      <bottom style="thin">
        <color rgb="FFBDBDBD"/>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1" numFmtId="0" xfId="0" applyAlignment="1" applyFont="1">
      <alignment horizontal="left" vertical="bottom"/>
    </xf>
    <xf borderId="0" fillId="0" fontId="1" numFmtId="164" xfId="0" applyAlignment="1" applyFont="1" applyNumberFormat="1">
      <alignment readingOrder="0"/>
    </xf>
    <xf borderId="0" fillId="3" fontId="1" numFmtId="0" xfId="0" applyAlignment="1" applyFill="1" applyFont="1">
      <alignment readingOrder="0" vertical="bottom"/>
    </xf>
    <xf borderId="0" fillId="3" fontId="1" numFmtId="0" xfId="0" applyAlignment="1" applyFont="1">
      <alignment horizontal="left" readingOrder="0" vertical="bottom"/>
    </xf>
    <xf borderId="0" fillId="0" fontId="1" numFmtId="0" xfId="0" applyAlignment="1" applyFont="1">
      <alignment readingOrder="0" vertical="bottom"/>
    </xf>
    <xf borderId="0" fillId="0" fontId="1" numFmtId="0" xfId="0" applyAlignment="1" applyFont="1">
      <alignment horizontal="left" readingOrder="0" vertical="bottom"/>
    </xf>
    <xf borderId="0" fillId="0" fontId="2" numFmtId="0" xfId="0" applyAlignment="1" applyFont="1">
      <alignment readingOrder="0" vertical="bottom"/>
    </xf>
    <xf borderId="0" fillId="0" fontId="1" numFmtId="0" xfId="0" applyAlignment="1" applyFont="1">
      <alignment vertical="bottom"/>
    </xf>
    <xf borderId="0" fillId="0" fontId="3" numFmtId="0" xfId="0" applyAlignment="1" applyFont="1">
      <alignment readingOrder="0" vertical="bottom"/>
    </xf>
    <xf borderId="0" fillId="0" fontId="4" numFmtId="0" xfId="0" applyAlignment="1" applyFont="1">
      <alignment readingOrder="0" vertical="bottom"/>
    </xf>
    <xf borderId="0" fillId="0" fontId="1" numFmtId="0" xfId="0" applyAlignment="1" applyFont="1">
      <alignment horizontal="left" readingOrder="0" vertical="bottom"/>
    </xf>
    <xf quotePrefix="1" borderId="0" fillId="0" fontId="1" numFmtId="0" xfId="0" applyAlignment="1" applyFont="1">
      <alignment readingOrder="0" vertical="bottom"/>
    </xf>
    <xf borderId="1" fillId="4" fontId="5" numFmtId="0" xfId="0" applyAlignment="1" applyBorder="1" applyFill="1" applyFont="1">
      <alignment horizontal="left" readingOrder="0" vertical="bottom"/>
    </xf>
    <xf borderId="0" fillId="4" fontId="1" numFmtId="0" xfId="0" applyAlignment="1" applyFont="1">
      <alignment readingOrder="0" vertical="bottom"/>
    </xf>
    <xf borderId="1" fillId="4" fontId="6" numFmtId="0" xfId="0" applyAlignment="1" applyBorder="1" applyFont="1">
      <alignment horizontal="left" readingOrder="0" vertical="bottom"/>
    </xf>
    <xf borderId="1" fillId="4" fontId="6" numFmtId="0" xfId="0" applyAlignment="1" applyBorder="1" applyFont="1">
      <alignment horizontal="left" readingOrder="0" shrinkToFit="0" vertical="bottom" wrapText="0"/>
    </xf>
    <xf borderId="0" fillId="4" fontId="0" numFmtId="0" xfId="0" applyAlignment="1" applyFont="1">
      <alignment horizontal="right" readingOrder="0" vertical="bottom"/>
    </xf>
    <xf borderId="0" fillId="4" fontId="0" numFmtId="0" xfId="0" applyAlignment="1" applyFont="1">
      <alignment horizontal="left" readingOrder="0" vertical="bottom"/>
    </xf>
    <xf borderId="1" fillId="4" fontId="7" numFmtId="0" xfId="0" applyAlignment="1" applyBorder="1" applyFont="1">
      <alignment horizontal="left" readingOrder="0" shrinkToFit="0" vertical="bottom" wrapText="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quotePrefix="1" borderId="1" fillId="4" fontId="6" numFmtId="0" xfId="0" applyAlignment="1" applyBorder="1" applyFont="1">
      <alignment horizontal="left" readingOrder="0" vertical="bottom"/>
    </xf>
    <xf borderId="0" fillId="4" fontId="0" numFmtId="0" xfId="0" applyAlignment="1" applyFont="1">
      <alignment horizontal="left" vertical="bottom"/>
    </xf>
    <xf borderId="0" fillId="4" fontId="0" numFmtId="0" xfId="0" applyAlignment="1" applyFont="1">
      <alignment readingOrder="0"/>
    </xf>
    <xf borderId="1" fillId="4" fontId="6" numFmtId="0" xfId="0" applyAlignment="1" applyBorder="1" applyFont="1">
      <alignment horizontal="left" readingOrder="0" vertical="top"/>
    </xf>
    <xf borderId="1" fillId="4" fontId="6" numFmtId="0" xfId="0" applyAlignment="1" applyBorder="1" applyFont="1">
      <alignment horizontal="right" readingOrder="0" shrinkToFit="0" vertical="bottom" wrapText="0"/>
    </xf>
    <xf borderId="1" fillId="4" fontId="6" numFmtId="0" xfId="0" applyAlignment="1" applyBorder="1" applyFont="1">
      <alignment horizontal="left" vertical="bottom"/>
    </xf>
    <xf borderId="0" fillId="4" fontId="1" numFmtId="0" xfId="0" applyAlignment="1" applyFont="1">
      <alignment readingOrder="0"/>
    </xf>
    <xf borderId="0" fillId="4" fontId="1" numFmtId="0" xfId="0" applyAlignment="1" applyFont="1">
      <alignment horizontal="left" readingOrder="0" vertical="bottom"/>
    </xf>
    <xf borderId="1" fillId="4" fontId="0" numFmtId="0" xfId="0" applyAlignment="1" applyBorder="1" applyFont="1">
      <alignment horizontal="right" readingOrder="0" shrinkToFit="0" vertical="bottom" wrapText="0"/>
    </xf>
    <xf borderId="1" fillId="4" fontId="0" numFmtId="0" xfId="0" applyAlignment="1" applyBorder="1" applyFont="1">
      <alignment horizontal="left" readingOrder="0" shrinkToFit="0" vertical="bottom" wrapText="0"/>
    </xf>
    <xf borderId="1" fillId="4" fontId="0" numFmtId="0" xfId="0" applyAlignment="1" applyBorder="1" applyFont="1">
      <alignment horizontal="left" readingOrder="0" vertical="bottom"/>
    </xf>
    <xf borderId="0" fillId="0" fontId="1" numFmtId="0" xfId="0" applyFont="1"/>
    <xf borderId="0" fillId="5" fontId="8" numFmtId="0" xfId="0" applyAlignment="1" applyFill="1" applyFont="1">
      <alignment horizontal="left" readingOrder="0" textRotation="0"/>
    </xf>
    <xf borderId="0" fillId="5" fontId="8" numFmtId="0" xfId="0" applyAlignment="1" applyFont="1">
      <alignment horizontal="center"/>
    </xf>
    <xf borderId="0" fillId="5" fontId="9" numFmtId="0" xfId="0" applyAlignment="1" applyFont="1">
      <alignment horizontal="left" readingOrder="0" shrinkToFit="0" wrapText="0"/>
    </xf>
    <xf borderId="0" fillId="4" fontId="10" numFmtId="0" xfId="0" applyAlignment="1" applyFont="1">
      <alignment shrinkToFit="0" vertical="bottom" wrapText="0"/>
    </xf>
    <xf borderId="0" fillId="6" fontId="11" numFmtId="0" xfId="0" applyAlignment="1" applyFill="1" applyFont="1">
      <alignment horizontal="left" readingOrder="0"/>
    </xf>
    <xf borderId="0" fillId="4" fontId="7" numFmtId="0" xfId="0" applyAlignment="1" applyFont="1">
      <alignment horizontal="left" readingOrder="0"/>
    </xf>
    <xf borderId="0" fillId="4" fontId="12" numFmtId="0" xfId="0" applyAlignment="1" applyFont="1">
      <alignment horizontal="left" readingOrder="0"/>
    </xf>
    <xf borderId="0" fillId="6" fontId="13" numFmtId="0" xfId="0" applyAlignment="1" applyFont="1">
      <alignment horizontal="center" readingOrder="0"/>
    </xf>
    <xf borderId="0" fillId="4" fontId="14" numFmtId="0" xfId="0" applyAlignment="1" applyFont="1">
      <alignment horizontal="center" readingOrder="0"/>
    </xf>
    <xf borderId="0" fillId="4" fontId="15" numFmtId="0" xfId="0" applyAlignment="1" applyFont="1">
      <alignment horizontal="center"/>
    </xf>
    <xf borderId="0" fillId="4" fontId="16" numFmtId="0" xfId="0" applyAlignment="1" applyFont="1">
      <alignment horizontal="center"/>
    </xf>
    <xf borderId="0" fillId="4" fontId="17" numFmtId="0" xfId="0" applyAlignment="1" applyFont="1">
      <alignment horizontal="center"/>
    </xf>
    <xf borderId="0" fillId="4" fontId="18" numFmtId="10" xfId="0" applyAlignment="1" applyFont="1" applyNumberFormat="1">
      <alignment horizontal="center" shrinkToFit="0" wrapText="0"/>
    </xf>
    <xf borderId="0" fillId="4" fontId="19" numFmtId="0" xfId="0" applyAlignment="1" applyFont="1">
      <alignment horizontal="center" readingOrder="0"/>
    </xf>
    <xf borderId="0" fillId="0" fontId="10" numFmtId="0" xfId="0" applyAlignment="1" applyFont="1">
      <alignment shrinkToFit="0" vertical="bottom" wrapText="0"/>
    </xf>
    <xf borderId="0" fillId="4" fontId="10" numFmtId="0" xfId="0" applyAlignment="1" applyFont="1">
      <alignment shrinkToFit="0" vertical="bottom" wrapText="0"/>
    </xf>
    <xf borderId="0" fillId="6" fontId="20" numFmtId="0" xfId="0" applyAlignment="1" applyFont="1">
      <alignment horizontal="left" readingOrder="0"/>
    </xf>
    <xf borderId="0" fillId="4" fontId="6" numFmtId="0" xfId="0" applyAlignment="1" applyFont="1">
      <alignment horizontal="center" readingOrder="0"/>
    </xf>
    <xf borderId="0" fillId="4" fontId="21" numFmtId="0" xfId="0" applyAlignment="1" applyFont="1">
      <alignment horizontal="center"/>
    </xf>
    <xf borderId="0" fillId="0" fontId="3" numFmtId="0" xfId="0" applyFont="1"/>
    <xf borderId="0" fillId="0" fontId="3" numFmtId="10" xfId="0" applyFont="1" applyNumberFormat="1"/>
    <xf borderId="0" fillId="4" fontId="6" numFmtId="0" xfId="0" applyAlignment="1" applyFont="1">
      <alignment horizontal="left" readingOrder="0"/>
    </xf>
    <xf borderId="0" fillId="4" fontId="6" numFmtId="0" xfId="0" applyAlignment="1" applyFont="1">
      <alignment horizontal="center"/>
    </xf>
    <xf borderId="0" fillId="0" fontId="0" numFmtId="0" xfId="0" applyFont="1"/>
    <xf borderId="0" fillId="4" fontId="6" numFmtId="10" xfId="0" applyAlignment="1" applyFont="1" applyNumberFormat="1">
      <alignment horizontal="center" shrinkToFit="0" wrapText="0"/>
    </xf>
    <xf borderId="0" fillId="4" fontId="6" numFmtId="10" xfId="0" applyAlignment="1" applyFont="1" applyNumberFormat="1">
      <alignment horizontal="center" readingOrder="0" shrinkToFit="0" wrapText="0"/>
    </xf>
    <xf borderId="0" fillId="6" fontId="13" numFmtId="0" xfId="0" applyAlignment="1" applyFont="1">
      <alignment horizontal="center"/>
    </xf>
    <xf borderId="0" fillId="6" fontId="22" numFmtId="10" xfId="0" applyAlignment="1" applyFont="1" applyNumberFormat="1">
      <alignment horizontal="center" shrinkToFit="0" wrapText="0"/>
    </xf>
    <xf borderId="0" fillId="6" fontId="7" numFmtId="0" xfId="0" applyAlignment="1" applyFont="1">
      <alignment horizontal="left"/>
    </xf>
    <xf borderId="0" fillId="7" fontId="9" numFmtId="0" xfId="0" applyAlignment="1" applyFill="1" applyFont="1">
      <alignment horizontal="left" readingOrder="0" shrinkToFit="0" wrapText="0"/>
    </xf>
    <xf borderId="0" fillId="4" fontId="23" numFmtId="0" xfId="0" applyAlignment="1" applyFont="1">
      <alignment horizontal="left" readingOrder="0"/>
    </xf>
    <xf borderId="0" fillId="4" fontId="23" numFmtId="0" xfId="0" applyAlignment="1" applyFont="1">
      <alignment horizontal="center" readingOrder="0"/>
    </xf>
    <xf borderId="0" fillId="4" fontId="7" numFmtId="0" xfId="0" applyAlignment="1" applyFont="1">
      <alignment horizontal="center" readingOrder="0"/>
    </xf>
    <xf borderId="0" fillId="4" fontId="10" numFmtId="0" xfId="0" applyAlignment="1" applyFont="1">
      <alignment horizontal="lef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inventory.html" TargetMode="External"/><Relationship Id="rId3" Type="http://schemas.openxmlformats.org/officeDocument/2006/relationships/hyperlink" Target="https://www.saucedemo.com/" TargetMode="External"/><Relationship Id="rId4" Type="http://schemas.openxmlformats.org/officeDocument/2006/relationships/hyperlink" Target="https://www.saucedemo.com/inventory.html" TargetMode="External"/><Relationship Id="rId5" Type="http://schemas.openxmlformats.org/officeDocument/2006/relationships/hyperlink" Target="https://github.com/zues5sne/saucedemo-manual-testing/issues/2"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3" max="3" width="15.38"/>
    <col customWidth="1" min="4" max="4" width="56.25"/>
    <col customWidth="1" min="7" max="7" width="63.0"/>
    <col customWidth="1" min="8" max="8" width="61.5"/>
    <col customWidth="1" min="9" max="9" width="49.63"/>
    <col customWidth="1" min="10" max="10" width="106.25"/>
    <col customWidth="1" min="11" max="11" width="85.5"/>
  </cols>
  <sheetData>
    <row r="1">
      <c r="A1" s="1" t="s">
        <v>0</v>
      </c>
      <c r="B1" s="2" t="s">
        <v>1</v>
      </c>
      <c r="G1" s="3"/>
    </row>
    <row r="2">
      <c r="A2" s="1" t="s">
        <v>2</v>
      </c>
      <c r="B2" s="2" t="s">
        <v>3</v>
      </c>
      <c r="G2" s="3"/>
    </row>
    <row r="3">
      <c r="A3" s="1" t="s">
        <v>4</v>
      </c>
      <c r="B3" s="2" t="s">
        <v>5</v>
      </c>
      <c r="G3" s="3"/>
    </row>
    <row r="4">
      <c r="A4" s="1" t="s">
        <v>6</v>
      </c>
      <c r="B4" s="4">
        <v>46175.0</v>
      </c>
      <c r="G4" s="3"/>
    </row>
    <row r="5">
      <c r="A5" s="1" t="s">
        <v>7</v>
      </c>
      <c r="G5" s="3"/>
    </row>
    <row r="6">
      <c r="G6" s="3"/>
    </row>
    <row r="7">
      <c r="A7" s="5" t="s">
        <v>8</v>
      </c>
      <c r="B7" s="5" t="s">
        <v>9</v>
      </c>
      <c r="C7" s="5" t="s">
        <v>10</v>
      </c>
      <c r="D7" s="5" t="s">
        <v>11</v>
      </c>
      <c r="E7" s="5" t="s">
        <v>12</v>
      </c>
      <c r="F7" s="5" t="s">
        <v>13</v>
      </c>
      <c r="G7" s="6" t="s">
        <v>14</v>
      </c>
      <c r="H7" s="5" t="s">
        <v>15</v>
      </c>
      <c r="I7" s="5" t="s">
        <v>16</v>
      </c>
      <c r="J7" s="5" t="s">
        <v>17</v>
      </c>
      <c r="K7" s="5" t="s">
        <v>18</v>
      </c>
      <c r="L7" s="5" t="s">
        <v>19</v>
      </c>
      <c r="M7" s="5" t="s">
        <v>20</v>
      </c>
      <c r="N7" s="5" t="s">
        <v>21</v>
      </c>
    </row>
    <row r="8">
      <c r="A8" s="7">
        <v>1.0</v>
      </c>
      <c r="B8" s="7" t="s">
        <v>22</v>
      </c>
      <c r="C8" s="7" t="s">
        <v>23</v>
      </c>
      <c r="D8" s="7" t="s">
        <v>24</v>
      </c>
      <c r="E8" s="7" t="s">
        <v>25</v>
      </c>
      <c r="F8" s="7" t="s">
        <v>26</v>
      </c>
      <c r="G8" s="8" t="s">
        <v>27</v>
      </c>
      <c r="H8" s="9" t="s">
        <v>28</v>
      </c>
      <c r="I8" s="7" t="s">
        <v>29</v>
      </c>
      <c r="J8" s="7" t="s">
        <v>30</v>
      </c>
      <c r="K8" s="7" t="s">
        <v>31</v>
      </c>
      <c r="L8" s="7" t="s">
        <v>32</v>
      </c>
      <c r="M8" s="10"/>
      <c r="N8" s="10"/>
    </row>
    <row r="9">
      <c r="A9" s="7">
        <v>2.0</v>
      </c>
      <c r="B9" s="7" t="s">
        <v>33</v>
      </c>
      <c r="C9" s="7" t="s">
        <v>23</v>
      </c>
      <c r="D9" s="7" t="s">
        <v>34</v>
      </c>
      <c r="E9" s="7" t="s">
        <v>25</v>
      </c>
      <c r="F9" s="7" t="s">
        <v>26</v>
      </c>
      <c r="G9" s="8" t="s">
        <v>27</v>
      </c>
      <c r="H9" s="7" t="s">
        <v>35</v>
      </c>
      <c r="I9" s="7" t="s">
        <v>29</v>
      </c>
      <c r="J9" s="7" t="s">
        <v>36</v>
      </c>
      <c r="K9" s="7" t="s">
        <v>37</v>
      </c>
      <c r="L9" s="7" t="s">
        <v>32</v>
      </c>
      <c r="M9" s="10"/>
      <c r="N9" s="10"/>
    </row>
    <row r="10">
      <c r="A10" s="7">
        <v>3.0</v>
      </c>
      <c r="B10" s="7" t="s">
        <v>38</v>
      </c>
      <c r="C10" s="7" t="s">
        <v>23</v>
      </c>
      <c r="D10" s="7" t="s">
        <v>39</v>
      </c>
      <c r="E10" s="7" t="s">
        <v>40</v>
      </c>
      <c r="F10" s="7" t="s">
        <v>26</v>
      </c>
      <c r="G10" s="8" t="s">
        <v>27</v>
      </c>
      <c r="H10" s="7" t="s">
        <v>41</v>
      </c>
      <c r="I10" s="7" t="s">
        <v>42</v>
      </c>
      <c r="J10" s="7" t="s">
        <v>43</v>
      </c>
      <c r="K10" s="7" t="s">
        <v>44</v>
      </c>
      <c r="L10" s="7" t="s">
        <v>32</v>
      </c>
      <c r="M10" s="10"/>
      <c r="N10" s="10"/>
    </row>
    <row r="11">
      <c r="A11" s="7">
        <v>4.0</v>
      </c>
      <c r="B11" s="7" t="s">
        <v>45</v>
      </c>
      <c r="C11" s="7" t="s">
        <v>23</v>
      </c>
      <c r="D11" s="7" t="s">
        <v>46</v>
      </c>
      <c r="E11" s="7" t="s">
        <v>40</v>
      </c>
      <c r="F11" s="7" t="s">
        <v>26</v>
      </c>
      <c r="G11" s="8" t="s">
        <v>27</v>
      </c>
      <c r="H11" s="7" t="s">
        <v>47</v>
      </c>
      <c r="I11" s="7" t="s">
        <v>48</v>
      </c>
      <c r="J11" s="7" t="s">
        <v>49</v>
      </c>
      <c r="K11" s="7" t="s">
        <v>50</v>
      </c>
      <c r="L11" s="7" t="s">
        <v>32</v>
      </c>
      <c r="M11" s="10"/>
      <c r="N11" s="10"/>
    </row>
    <row r="12">
      <c r="A12" s="7">
        <v>5.0</v>
      </c>
      <c r="B12" s="7" t="s">
        <v>51</v>
      </c>
      <c r="C12" s="7" t="s">
        <v>23</v>
      </c>
      <c r="D12" s="7" t="s">
        <v>52</v>
      </c>
      <c r="E12" s="7" t="s">
        <v>40</v>
      </c>
      <c r="F12" s="7" t="s">
        <v>26</v>
      </c>
      <c r="G12" s="8" t="s">
        <v>27</v>
      </c>
      <c r="H12" s="7" t="s">
        <v>53</v>
      </c>
      <c r="I12" s="7" t="s">
        <v>54</v>
      </c>
      <c r="J12" s="7" t="s">
        <v>55</v>
      </c>
      <c r="K12" s="7" t="s">
        <v>55</v>
      </c>
      <c r="L12" s="7" t="s">
        <v>32</v>
      </c>
      <c r="M12" s="10"/>
      <c r="N12" s="10"/>
    </row>
    <row r="13">
      <c r="A13" s="7">
        <v>6.0</v>
      </c>
      <c r="B13" s="7" t="s">
        <v>56</v>
      </c>
      <c r="C13" s="7" t="s">
        <v>23</v>
      </c>
      <c r="D13" s="7" t="s">
        <v>57</v>
      </c>
      <c r="E13" s="7" t="s">
        <v>40</v>
      </c>
      <c r="F13" s="7" t="s">
        <v>26</v>
      </c>
      <c r="G13" s="8" t="s">
        <v>27</v>
      </c>
      <c r="H13" s="7" t="s">
        <v>58</v>
      </c>
      <c r="I13" s="7" t="s">
        <v>59</v>
      </c>
      <c r="J13" s="7" t="s">
        <v>50</v>
      </c>
      <c r="K13" s="7" t="s">
        <v>50</v>
      </c>
      <c r="L13" s="7" t="s">
        <v>32</v>
      </c>
      <c r="M13" s="10"/>
      <c r="N13" s="10"/>
    </row>
    <row r="14">
      <c r="A14" s="7">
        <v>7.0</v>
      </c>
      <c r="B14" s="7" t="s">
        <v>60</v>
      </c>
      <c r="C14" s="7" t="s">
        <v>23</v>
      </c>
      <c r="D14" s="7" t="s">
        <v>61</v>
      </c>
      <c r="E14" s="7" t="s">
        <v>40</v>
      </c>
      <c r="F14" s="7" t="s">
        <v>26</v>
      </c>
      <c r="G14" s="8" t="s">
        <v>27</v>
      </c>
      <c r="H14" s="7" t="s">
        <v>62</v>
      </c>
      <c r="I14" s="7" t="s">
        <v>63</v>
      </c>
      <c r="J14" s="7" t="s">
        <v>64</v>
      </c>
      <c r="K14" s="7" t="s">
        <v>64</v>
      </c>
      <c r="L14" s="7" t="s">
        <v>32</v>
      </c>
      <c r="M14" s="10"/>
      <c r="N14" s="10"/>
    </row>
    <row r="15">
      <c r="A15" s="7">
        <v>8.0</v>
      </c>
      <c r="B15" s="7" t="s">
        <v>65</v>
      </c>
      <c r="C15" s="7" t="s">
        <v>23</v>
      </c>
      <c r="D15" s="7" t="s">
        <v>66</v>
      </c>
      <c r="E15" s="7" t="s">
        <v>40</v>
      </c>
      <c r="F15" s="7" t="s">
        <v>26</v>
      </c>
      <c r="G15" s="8" t="s">
        <v>27</v>
      </c>
      <c r="H15" s="7" t="s">
        <v>67</v>
      </c>
      <c r="I15" s="7" t="s">
        <v>68</v>
      </c>
      <c r="J15" s="7" t="s">
        <v>69</v>
      </c>
      <c r="K15" s="11" t="s">
        <v>70</v>
      </c>
      <c r="L15" s="7" t="s">
        <v>32</v>
      </c>
      <c r="M15" s="10"/>
      <c r="N15" s="10"/>
    </row>
    <row r="16">
      <c r="A16" s="7">
        <v>9.0</v>
      </c>
      <c r="B16" s="7" t="s">
        <v>71</v>
      </c>
      <c r="C16" s="7" t="s">
        <v>23</v>
      </c>
      <c r="D16" s="7" t="s">
        <v>72</v>
      </c>
      <c r="E16" s="7" t="s">
        <v>25</v>
      </c>
      <c r="F16" s="7" t="s">
        <v>26</v>
      </c>
      <c r="G16" s="8" t="s">
        <v>27</v>
      </c>
      <c r="H16" s="7" t="s">
        <v>73</v>
      </c>
      <c r="I16" s="7" t="s">
        <v>74</v>
      </c>
      <c r="J16" s="7" t="s">
        <v>75</v>
      </c>
      <c r="K16" s="7" t="s">
        <v>76</v>
      </c>
      <c r="L16" s="7" t="s">
        <v>32</v>
      </c>
      <c r="M16" s="10"/>
      <c r="N16" s="10"/>
    </row>
    <row r="17">
      <c r="A17" s="7">
        <v>10.0</v>
      </c>
      <c r="B17" s="7" t="s">
        <v>77</v>
      </c>
      <c r="C17" s="7" t="s">
        <v>23</v>
      </c>
      <c r="D17" s="7" t="s">
        <v>78</v>
      </c>
      <c r="E17" s="7" t="s">
        <v>25</v>
      </c>
      <c r="F17" s="7" t="s">
        <v>26</v>
      </c>
      <c r="G17" s="8" t="s">
        <v>27</v>
      </c>
      <c r="H17" s="7" t="s">
        <v>79</v>
      </c>
      <c r="I17" s="7" t="s">
        <v>80</v>
      </c>
      <c r="J17" s="7" t="s">
        <v>81</v>
      </c>
      <c r="K17" s="7" t="s">
        <v>82</v>
      </c>
      <c r="L17" s="7" t="s">
        <v>32</v>
      </c>
      <c r="M17" s="10"/>
      <c r="N17" s="10"/>
    </row>
    <row r="18">
      <c r="A18" s="7">
        <v>11.0</v>
      </c>
      <c r="B18" s="7" t="s">
        <v>83</v>
      </c>
      <c r="C18" s="7" t="s">
        <v>23</v>
      </c>
      <c r="D18" s="7" t="s">
        <v>84</v>
      </c>
      <c r="E18" s="7" t="s">
        <v>25</v>
      </c>
      <c r="F18" s="7" t="s">
        <v>26</v>
      </c>
      <c r="G18" s="8" t="s">
        <v>27</v>
      </c>
      <c r="H18" s="7" t="s">
        <v>85</v>
      </c>
      <c r="I18" s="12" t="s">
        <v>86</v>
      </c>
      <c r="J18" s="7" t="s">
        <v>87</v>
      </c>
      <c r="K18" s="7" t="s">
        <v>88</v>
      </c>
      <c r="L18" s="7" t="s">
        <v>32</v>
      </c>
      <c r="M18" s="10"/>
      <c r="N18" s="10"/>
    </row>
    <row r="19">
      <c r="A19" s="7">
        <v>12.0</v>
      </c>
      <c r="B19" s="7" t="s">
        <v>89</v>
      </c>
      <c r="C19" s="7" t="s">
        <v>23</v>
      </c>
      <c r="D19" s="7" t="s">
        <v>90</v>
      </c>
      <c r="E19" s="7" t="s">
        <v>40</v>
      </c>
      <c r="F19" s="7" t="s">
        <v>26</v>
      </c>
      <c r="G19" s="13" t="s">
        <v>91</v>
      </c>
      <c r="H19" s="9" t="s">
        <v>92</v>
      </c>
      <c r="I19" s="10"/>
      <c r="J19" s="9" t="s">
        <v>93</v>
      </c>
      <c r="K19" s="9" t="s">
        <v>94</v>
      </c>
      <c r="L19" s="7" t="s">
        <v>95</v>
      </c>
      <c r="M19" s="9" t="s">
        <v>96</v>
      </c>
      <c r="N19" s="7" t="s">
        <v>97</v>
      </c>
    </row>
    <row r="20">
      <c r="A20" s="7">
        <v>13.0</v>
      </c>
      <c r="B20" s="7" t="s">
        <v>98</v>
      </c>
      <c r="C20" s="7" t="s">
        <v>23</v>
      </c>
      <c r="D20" s="7" t="s">
        <v>99</v>
      </c>
      <c r="E20" s="7" t="s">
        <v>40</v>
      </c>
      <c r="F20" s="7" t="s">
        <v>26</v>
      </c>
      <c r="G20" s="8" t="s">
        <v>27</v>
      </c>
      <c r="H20" s="7" t="s">
        <v>100</v>
      </c>
      <c r="I20" s="7" t="s">
        <v>101</v>
      </c>
      <c r="J20" s="7" t="s">
        <v>102</v>
      </c>
      <c r="K20" s="7" t="s">
        <v>102</v>
      </c>
      <c r="L20" s="7" t="s">
        <v>32</v>
      </c>
      <c r="M20" s="10"/>
      <c r="N20" s="10"/>
    </row>
    <row r="21">
      <c r="A21" s="7">
        <v>14.0</v>
      </c>
      <c r="B21" s="7" t="s">
        <v>103</v>
      </c>
      <c r="C21" s="7" t="s">
        <v>104</v>
      </c>
      <c r="D21" s="7" t="s">
        <v>105</v>
      </c>
      <c r="E21" s="7" t="s">
        <v>25</v>
      </c>
      <c r="F21" s="7" t="s">
        <v>106</v>
      </c>
      <c r="G21" s="8" t="s">
        <v>107</v>
      </c>
      <c r="H21" s="7" t="s">
        <v>108</v>
      </c>
      <c r="I21" s="10"/>
      <c r="J21" s="7" t="s">
        <v>109</v>
      </c>
      <c r="K21" s="7" t="s">
        <v>110</v>
      </c>
      <c r="L21" s="7" t="s">
        <v>32</v>
      </c>
      <c r="M21" s="10"/>
      <c r="N21" s="10"/>
    </row>
    <row r="22">
      <c r="A22" s="7">
        <v>15.0</v>
      </c>
      <c r="B22" s="7" t="s">
        <v>111</v>
      </c>
      <c r="C22" s="7" t="s">
        <v>104</v>
      </c>
      <c r="D22" s="7" t="s">
        <v>112</v>
      </c>
      <c r="E22" s="7" t="s">
        <v>25</v>
      </c>
      <c r="F22" s="7" t="s">
        <v>106</v>
      </c>
      <c r="G22" s="8" t="s">
        <v>107</v>
      </c>
      <c r="H22" s="7" t="s">
        <v>113</v>
      </c>
      <c r="I22" s="7" t="s">
        <v>114</v>
      </c>
      <c r="J22" s="7" t="s">
        <v>115</v>
      </c>
      <c r="K22" s="7" t="s">
        <v>116</v>
      </c>
      <c r="L22" s="7" t="s">
        <v>32</v>
      </c>
      <c r="M22" s="10"/>
      <c r="N22" s="10"/>
    </row>
    <row r="23">
      <c r="A23" s="7">
        <v>16.0</v>
      </c>
      <c r="B23" s="7" t="s">
        <v>117</v>
      </c>
      <c r="C23" s="7" t="s">
        <v>104</v>
      </c>
      <c r="D23" s="7" t="s">
        <v>118</v>
      </c>
      <c r="E23" s="7" t="s">
        <v>25</v>
      </c>
      <c r="F23" s="7" t="s">
        <v>106</v>
      </c>
      <c r="G23" s="8" t="s">
        <v>107</v>
      </c>
      <c r="H23" s="7" t="s">
        <v>119</v>
      </c>
      <c r="I23" s="7" t="s">
        <v>120</v>
      </c>
      <c r="J23" s="7" t="s">
        <v>121</v>
      </c>
      <c r="K23" s="7" t="s">
        <v>122</v>
      </c>
      <c r="L23" s="7" t="s">
        <v>32</v>
      </c>
      <c r="M23" s="10"/>
      <c r="N23" s="10"/>
    </row>
    <row r="24">
      <c r="A24" s="7">
        <v>17.0</v>
      </c>
      <c r="B24" s="7" t="s">
        <v>123</v>
      </c>
      <c r="C24" s="7" t="s">
        <v>104</v>
      </c>
      <c r="D24" s="7" t="s">
        <v>124</v>
      </c>
      <c r="E24" s="7" t="s">
        <v>25</v>
      </c>
      <c r="F24" s="7" t="s">
        <v>106</v>
      </c>
      <c r="G24" s="8" t="s">
        <v>107</v>
      </c>
      <c r="H24" s="7" t="s">
        <v>125</v>
      </c>
      <c r="I24" s="7" t="s">
        <v>126</v>
      </c>
      <c r="J24" s="7" t="s">
        <v>127</v>
      </c>
      <c r="K24" s="7" t="s">
        <v>128</v>
      </c>
      <c r="L24" s="7" t="s">
        <v>32</v>
      </c>
      <c r="M24" s="10"/>
      <c r="N24" s="10"/>
    </row>
    <row r="25">
      <c r="A25" s="7">
        <v>18.0</v>
      </c>
      <c r="B25" s="7" t="s">
        <v>129</v>
      </c>
      <c r="C25" s="7" t="s">
        <v>104</v>
      </c>
      <c r="D25" s="7" t="s">
        <v>130</v>
      </c>
      <c r="E25" s="7" t="s">
        <v>25</v>
      </c>
      <c r="F25" s="7" t="s">
        <v>106</v>
      </c>
      <c r="G25" s="8" t="s">
        <v>107</v>
      </c>
      <c r="H25" s="7" t="s">
        <v>131</v>
      </c>
      <c r="I25" s="7" t="s">
        <v>132</v>
      </c>
      <c r="J25" s="7" t="s">
        <v>133</v>
      </c>
      <c r="K25" s="7" t="s">
        <v>134</v>
      </c>
      <c r="L25" s="7" t="s">
        <v>32</v>
      </c>
      <c r="M25" s="10"/>
      <c r="N25" s="10"/>
    </row>
    <row r="26">
      <c r="A26" s="7">
        <v>19.0</v>
      </c>
      <c r="B26" s="7" t="s">
        <v>135</v>
      </c>
      <c r="C26" s="7" t="s">
        <v>104</v>
      </c>
      <c r="D26" s="7" t="s">
        <v>136</v>
      </c>
      <c r="E26" s="7" t="s">
        <v>25</v>
      </c>
      <c r="F26" s="7" t="s">
        <v>106</v>
      </c>
      <c r="G26" s="8" t="s">
        <v>107</v>
      </c>
      <c r="H26" s="7" t="s">
        <v>137</v>
      </c>
      <c r="I26" s="12" t="s">
        <v>138</v>
      </c>
      <c r="J26" s="7" t="s">
        <v>139</v>
      </c>
      <c r="K26" s="7" t="s">
        <v>140</v>
      </c>
      <c r="L26" s="7" t="s">
        <v>32</v>
      </c>
      <c r="M26" s="10"/>
      <c r="N26" s="10"/>
    </row>
    <row r="27">
      <c r="A27" s="7">
        <v>20.0</v>
      </c>
      <c r="B27" s="7" t="s">
        <v>141</v>
      </c>
      <c r="C27" s="7" t="s">
        <v>104</v>
      </c>
      <c r="D27" s="14" t="s">
        <v>142</v>
      </c>
      <c r="E27" s="7" t="s">
        <v>25</v>
      </c>
      <c r="F27" s="7" t="s">
        <v>106</v>
      </c>
      <c r="G27" s="8" t="s">
        <v>107</v>
      </c>
      <c r="H27" s="7" t="s">
        <v>143</v>
      </c>
      <c r="I27" s="10"/>
      <c r="J27" s="7" t="s">
        <v>144</v>
      </c>
      <c r="K27" s="7" t="s">
        <v>145</v>
      </c>
      <c r="L27" s="7" t="s">
        <v>32</v>
      </c>
      <c r="M27" s="10"/>
      <c r="N27" s="10"/>
    </row>
    <row r="28">
      <c r="A28" s="7">
        <v>21.0</v>
      </c>
      <c r="B28" s="7" t="s">
        <v>146</v>
      </c>
      <c r="C28" s="7" t="s">
        <v>104</v>
      </c>
      <c r="D28" s="14" t="s">
        <v>147</v>
      </c>
      <c r="E28" s="7" t="s">
        <v>25</v>
      </c>
      <c r="F28" s="7" t="s">
        <v>106</v>
      </c>
      <c r="G28" s="8" t="s">
        <v>107</v>
      </c>
      <c r="H28" s="7" t="s">
        <v>148</v>
      </c>
      <c r="I28" s="10"/>
      <c r="J28" s="7" t="s">
        <v>149</v>
      </c>
      <c r="K28" s="7" t="s">
        <v>150</v>
      </c>
      <c r="L28" s="7" t="s">
        <v>32</v>
      </c>
      <c r="M28" s="10"/>
      <c r="N28" s="10"/>
    </row>
    <row r="29">
      <c r="A29" s="7">
        <v>22.0</v>
      </c>
      <c r="B29" s="7" t="s">
        <v>151</v>
      </c>
      <c r="C29" s="7" t="s">
        <v>104</v>
      </c>
      <c r="D29" s="7" t="s">
        <v>152</v>
      </c>
      <c r="E29" s="7" t="s">
        <v>25</v>
      </c>
      <c r="F29" s="7" t="s">
        <v>106</v>
      </c>
      <c r="G29" s="8" t="s">
        <v>107</v>
      </c>
      <c r="H29" s="7" t="s">
        <v>153</v>
      </c>
      <c r="I29" s="7" t="s">
        <v>154</v>
      </c>
      <c r="J29" s="7" t="s">
        <v>155</v>
      </c>
      <c r="K29" s="7" t="s">
        <v>156</v>
      </c>
      <c r="L29" s="7" t="s">
        <v>32</v>
      </c>
      <c r="M29" s="10"/>
      <c r="N29" s="10"/>
    </row>
    <row r="30">
      <c r="A30" s="7">
        <v>23.0</v>
      </c>
      <c r="B30" s="7" t="s">
        <v>157</v>
      </c>
      <c r="C30" s="7" t="s">
        <v>104</v>
      </c>
      <c r="D30" s="7" t="s">
        <v>158</v>
      </c>
      <c r="E30" s="7" t="s">
        <v>40</v>
      </c>
      <c r="F30" s="7" t="s">
        <v>106</v>
      </c>
      <c r="G30" s="8" t="s">
        <v>159</v>
      </c>
      <c r="H30" s="7" t="s">
        <v>160</v>
      </c>
      <c r="I30" s="7" t="s">
        <v>161</v>
      </c>
      <c r="J30" s="7" t="s">
        <v>162</v>
      </c>
      <c r="K30" s="7" t="s">
        <v>163</v>
      </c>
      <c r="L30" s="7" t="s">
        <v>32</v>
      </c>
      <c r="M30" s="10"/>
      <c r="N30" s="10"/>
    </row>
    <row r="31">
      <c r="A31" s="7">
        <v>24.0</v>
      </c>
      <c r="B31" s="7" t="s">
        <v>164</v>
      </c>
      <c r="C31" s="7" t="s">
        <v>104</v>
      </c>
      <c r="D31" s="7" t="s">
        <v>165</v>
      </c>
      <c r="E31" s="7" t="s">
        <v>40</v>
      </c>
      <c r="F31" s="7" t="s">
        <v>106</v>
      </c>
      <c r="G31" s="8" t="s">
        <v>159</v>
      </c>
      <c r="H31" s="7" t="s">
        <v>166</v>
      </c>
      <c r="I31" s="7" t="s">
        <v>161</v>
      </c>
      <c r="J31" s="15" t="s">
        <v>167</v>
      </c>
      <c r="K31" s="11" t="s">
        <v>168</v>
      </c>
      <c r="L31" s="12" t="s">
        <v>32</v>
      </c>
      <c r="M31" s="10"/>
      <c r="N31" s="10"/>
    </row>
    <row r="32">
      <c r="A32" s="7">
        <v>25.0</v>
      </c>
      <c r="B32" s="7" t="s">
        <v>169</v>
      </c>
      <c r="C32" s="7" t="s">
        <v>104</v>
      </c>
      <c r="D32" s="7" t="s">
        <v>170</v>
      </c>
      <c r="E32" s="7" t="s">
        <v>40</v>
      </c>
      <c r="F32" s="7" t="s">
        <v>106</v>
      </c>
      <c r="G32" s="8" t="s">
        <v>171</v>
      </c>
      <c r="H32" s="7" t="s">
        <v>172</v>
      </c>
      <c r="I32" s="15" t="s">
        <v>173</v>
      </c>
      <c r="J32" s="16" t="s">
        <v>174</v>
      </c>
      <c r="K32" s="12" t="s">
        <v>175</v>
      </c>
      <c r="L32" s="12" t="s">
        <v>32</v>
      </c>
      <c r="M32" s="10"/>
      <c r="N32" s="10"/>
    </row>
    <row r="33">
      <c r="A33" s="7">
        <v>26.0</v>
      </c>
      <c r="B33" s="7" t="s">
        <v>176</v>
      </c>
      <c r="C33" s="7" t="s">
        <v>104</v>
      </c>
      <c r="D33" s="7" t="s">
        <v>177</v>
      </c>
      <c r="E33" s="7" t="s">
        <v>25</v>
      </c>
      <c r="F33" s="7" t="s">
        <v>106</v>
      </c>
      <c r="G33" s="8" t="s">
        <v>178</v>
      </c>
      <c r="H33" s="7" t="s">
        <v>179</v>
      </c>
      <c r="I33" s="15" t="s">
        <v>180</v>
      </c>
      <c r="J33" s="15" t="s">
        <v>181</v>
      </c>
      <c r="K33" s="11" t="s">
        <v>182</v>
      </c>
      <c r="L33" s="12" t="s">
        <v>32</v>
      </c>
      <c r="M33" s="10"/>
      <c r="N33" s="10"/>
    </row>
    <row r="34">
      <c r="A34" s="7">
        <v>27.0</v>
      </c>
      <c r="B34" s="7" t="s">
        <v>183</v>
      </c>
      <c r="C34" s="7" t="s">
        <v>184</v>
      </c>
      <c r="D34" s="7" t="s">
        <v>185</v>
      </c>
      <c r="E34" s="7" t="s">
        <v>25</v>
      </c>
      <c r="F34" s="7" t="s">
        <v>106</v>
      </c>
      <c r="G34" s="8" t="s">
        <v>107</v>
      </c>
      <c r="H34" s="7" t="s">
        <v>186</v>
      </c>
      <c r="I34" s="10"/>
      <c r="J34" s="7" t="s">
        <v>187</v>
      </c>
      <c r="K34" s="11" t="s">
        <v>188</v>
      </c>
      <c r="L34" s="12" t="s">
        <v>32</v>
      </c>
      <c r="M34" s="10"/>
      <c r="N34" s="10"/>
    </row>
    <row r="35">
      <c r="A35" s="7">
        <v>28.0</v>
      </c>
      <c r="B35" s="7" t="s">
        <v>189</v>
      </c>
      <c r="C35" s="7" t="s">
        <v>184</v>
      </c>
      <c r="D35" s="7" t="s">
        <v>190</v>
      </c>
      <c r="E35" s="7" t="s">
        <v>25</v>
      </c>
      <c r="F35" s="7" t="s">
        <v>106</v>
      </c>
      <c r="G35" s="8" t="s">
        <v>107</v>
      </c>
      <c r="H35" s="7" t="s">
        <v>191</v>
      </c>
      <c r="I35" s="10"/>
      <c r="J35" s="7" t="s">
        <v>192</v>
      </c>
      <c r="K35" s="11" t="s">
        <v>193</v>
      </c>
      <c r="L35" s="12" t="s">
        <v>32</v>
      </c>
      <c r="M35" s="10"/>
      <c r="N35" s="10"/>
    </row>
    <row r="36">
      <c r="A36" s="7">
        <v>29.0</v>
      </c>
      <c r="B36" s="7" t="s">
        <v>194</v>
      </c>
      <c r="C36" s="7" t="s">
        <v>184</v>
      </c>
      <c r="D36" s="7" t="s">
        <v>195</v>
      </c>
      <c r="E36" s="7" t="s">
        <v>25</v>
      </c>
      <c r="F36" s="7" t="s">
        <v>106</v>
      </c>
      <c r="G36" s="8" t="s">
        <v>107</v>
      </c>
      <c r="H36" s="7" t="s">
        <v>196</v>
      </c>
      <c r="I36" s="7" t="s">
        <v>197</v>
      </c>
      <c r="J36" s="11" t="s">
        <v>198</v>
      </c>
      <c r="K36" s="11" t="s">
        <v>199</v>
      </c>
      <c r="L36" s="12" t="s">
        <v>32</v>
      </c>
      <c r="M36" s="10"/>
      <c r="N36" s="10"/>
    </row>
    <row r="37">
      <c r="A37" s="7">
        <v>30.0</v>
      </c>
      <c r="B37" s="7" t="s">
        <v>200</v>
      </c>
      <c r="C37" s="7" t="s">
        <v>184</v>
      </c>
      <c r="D37" s="7" t="s">
        <v>201</v>
      </c>
      <c r="E37" s="7" t="s">
        <v>25</v>
      </c>
      <c r="F37" s="7" t="s">
        <v>106</v>
      </c>
      <c r="G37" s="8" t="s">
        <v>202</v>
      </c>
      <c r="H37" s="17" t="s">
        <v>203</v>
      </c>
      <c r="I37" s="17" t="s">
        <v>204</v>
      </c>
      <c r="J37" s="17" t="s">
        <v>205</v>
      </c>
      <c r="K37" s="11" t="s">
        <v>206</v>
      </c>
      <c r="L37" s="12" t="s">
        <v>32</v>
      </c>
      <c r="M37" s="10"/>
      <c r="N37" s="10"/>
    </row>
    <row r="38">
      <c r="A38" s="7">
        <v>31.0</v>
      </c>
      <c r="B38" s="7" t="s">
        <v>207</v>
      </c>
      <c r="C38" s="7" t="s">
        <v>184</v>
      </c>
      <c r="D38" s="7" t="s">
        <v>208</v>
      </c>
      <c r="E38" s="7" t="s">
        <v>25</v>
      </c>
      <c r="F38" s="7" t="s">
        <v>106</v>
      </c>
      <c r="G38" s="8" t="s">
        <v>202</v>
      </c>
      <c r="H38" s="7" t="s">
        <v>209</v>
      </c>
      <c r="I38" s="10"/>
      <c r="J38" s="7" t="s">
        <v>210</v>
      </c>
      <c r="K38" s="11" t="s">
        <v>211</v>
      </c>
      <c r="L38" s="12" t="s">
        <v>32</v>
      </c>
      <c r="M38" s="10"/>
      <c r="N38" s="10"/>
    </row>
    <row r="39">
      <c r="A39" s="7">
        <v>32.0</v>
      </c>
      <c r="B39" s="7" t="s">
        <v>212</v>
      </c>
      <c r="C39" s="7" t="s">
        <v>184</v>
      </c>
      <c r="D39" s="17" t="s">
        <v>213</v>
      </c>
      <c r="E39" s="7" t="s">
        <v>25</v>
      </c>
      <c r="F39" s="18" t="s">
        <v>106</v>
      </c>
      <c r="G39" s="17" t="s">
        <v>214</v>
      </c>
      <c r="H39" s="17" t="s">
        <v>215</v>
      </c>
      <c r="I39" s="17" t="s">
        <v>216</v>
      </c>
      <c r="J39" s="17" t="s">
        <v>217</v>
      </c>
      <c r="K39" s="11" t="s">
        <v>218</v>
      </c>
      <c r="L39" s="12" t="s">
        <v>32</v>
      </c>
      <c r="M39" s="10"/>
      <c r="N39" s="10"/>
    </row>
    <row r="40">
      <c r="A40" s="19">
        <v>33.0</v>
      </c>
      <c r="B40" s="7" t="s">
        <v>219</v>
      </c>
      <c r="C40" s="20" t="s">
        <v>184</v>
      </c>
      <c r="D40" s="17" t="s">
        <v>220</v>
      </c>
      <c r="E40" s="21" t="s">
        <v>40</v>
      </c>
      <c r="F40" s="18" t="s">
        <v>106</v>
      </c>
      <c r="G40" s="17" t="s">
        <v>221</v>
      </c>
      <c r="H40" s="20" t="s">
        <v>222</v>
      </c>
      <c r="I40" s="17" t="s">
        <v>223</v>
      </c>
      <c r="J40" s="17" t="s">
        <v>224</v>
      </c>
      <c r="K40" s="22" t="s">
        <v>225</v>
      </c>
      <c r="L40" s="23" t="s">
        <v>32</v>
      </c>
    </row>
    <row r="41">
      <c r="A41" s="2">
        <v>34.0</v>
      </c>
      <c r="B41" s="7" t="s">
        <v>226</v>
      </c>
      <c r="C41" s="20" t="s">
        <v>184</v>
      </c>
      <c r="D41" s="2" t="s">
        <v>227</v>
      </c>
      <c r="E41" s="18" t="s">
        <v>25</v>
      </c>
      <c r="F41" s="18" t="s">
        <v>106</v>
      </c>
      <c r="G41" s="8" t="s">
        <v>178</v>
      </c>
      <c r="H41" s="2" t="s">
        <v>228</v>
      </c>
      <c r="I41" s="2" t="s">
        <v>229</v>
      </c>
      <c r="J41" s="17" t="s">
        <v>230</v>
      </c>
      <c r="K41" s="22" t="s">
        <v>231</v>
      </c>
      <c r="L41" s="23" t="s">
        <v>32</v>
      </c>
    </row>
    <row r="42">
      <c r="A42" s="2">
        <v>35.0</v>
      </c>
      <c r="B42" s="7" t="s">
        <v>232</v>
      </c>
      <c r="C42" s="2" t="s">
        <v>233</v>
      </c>
      <c r="D42" s="2" t="s">
        <v>234</v>
      </c>
      <c r="E42" s="18" t="s">
        <v>25</v>
      </c>
      <c r="F42" s="2" t="s">
        <v>26</v>
      </c>
      <c r="G42" s="8" t="s">
        <v>235</v>
      </c>
      <c r="H42" s="2" t="s">
        <v>236</v>
      </c>
      <c r="I42" s="2" t="s">
        <v>237</v>
      </c>
      <c r="J42" s="2" t="s">
        <v>238</v>
      </c>
      <c r="K42" s="22" t="s">
        <v>239</v>
      </c>
      <c r="L42" s="23" t="s">
        <v>32</v>
      </c>
    </row>
    <row r="43">
      <c r="A43" s="2">
        <v>36.0</v>
      </c>
      <c r="B43" s="7" t="s">
        <v>240</v>
      </c>
      <c r="C43" s="2" t="s">
        <v>233</v>
      </c>
      <c r="D43" s="2" t="s">
        <v>241</v>
      </c>
      <c r="E43" s="18" t="s">
        <v>25</v>
      </c>
      <c r="F43" s="2" t="s">
        <v>26</v>
      </c>
      <c r="G43" s="8" t="s">
        <v>242</v>
      </c>
      <c r="H43" s="24" t="s">
        <v>243</v>
      </c>
      <c r="J43" s="2" t="s">
        <v>244</v>
      </c>
      <c r="K43" s="22" t="s">
        <v>245</v>
      </c>
      <c r="L43" s="23" t="s">
        <v>32</v>
      </c>
    </row>
    <row r="44">
      <c r="A44" s="2">
        <v>37.0</v>
      </c>
      <c r="B44" s="7" t="s">
        <v>246</v>
      </c>
      <c r="C44" s="2" t="s">
        <v>233</v>
      </c>
      <c r="D44" s="2" t="s">
        <v>247</v>
      </c>
      <c r="E44" s="18" t="s">
        <v>25</v>
      </c>
      <c r="F44" s="2" t="s">
        <v>26</v>
      </c>
      <c r="G44" s="8" t="s">
        <v>248</v>
      </c>
      <c r="H44" s="2" t="s">
        <v>249</v>
      </c>
      <c r="J44" s="2" t="s">
        <v>250</v>
      </c>
      <c r="K44" s="22" t="s">
        <v>251</v>
      </c>
      <c r="L44" s="23" t="s">
        <v>32</v>
      </c>
    </row>
    <row r="45">
      <c r="A45" s="2">
        <v>38.0</v>
      </c>
      <c r="B45" s="7" t="s">
        <v>252</v>
      </c>
      <c r="C45" s="2" t="s">
        <v>233</v>
      </c>
      <c r="D45" s="2" t="s">
        <v>253</v>
      </c>
      <c r="E45" s="18" t="s">
        <v>25</v>
      </c>
      <c r="F45" s="2" t="s">
        <v>26</v>
      </c>
      <c r="G45" s="8" t="s">
        <v>254</v>
      </c>
      <c r="H45" s="2" t="s">
        <v>255</v>
      </c>
      <c r="J45" s="2" t="s">
        <v>256</v>
      </c>
      <c r="K45" s="22" t="s">
        <v>257</v>
      </c>
      <c r="L45" s="23" t="s">
        <v>32</v>
      </c>
    </row>
    <row r="46">
      <c r="A46" s="2">
        <v>39.0</v>
      </c>
      <c r="B46" s="7" t="s">
        <v>258</v>
      </c>
      <c r="C46" s="2" t="s">
        <v>233</v>
      </c>
      <c r="D46" s="2" t="s">
        <v>259</v>
      </c>
      <c r="E46" s="18" t="s">
        <v>25</v>
      </c>
      <c r="F46" s="2" t="s">
        <v>26</v>
      </c>
      <c r="G46" s="8" t="s">
        <v>260</v>
      </c>
      <c r="H46" s="2" t="s">
        <v>261</v>
      </c>
      <c r="J46" s="2" t="s">
        <v>262</v>
      </c>
      <c r="K46" s="22" t="s">
        <v>263</v>
      </c>
      <c r="L46" s="23" t="s">
        <v>32</v>
      </c>
    </row>
    <row r="47">
      <c r="A47" s="19">
        <v>40.0</v>
      </c>
      <c r="B47" s="7" t="s">
        <v>264</v>
      </c>
      <c r="C47" s="2" t="s">
        <v>233</v>
      </c>
      <c r="D47" s="25" t="s">
        <v>265</v>
      </c>
      <c r="E47" s="18" t="s">
        <v>25</v>
      </c>
      <c r="F47" s="20" t="s">
        <v>26</v>
      </c>
      <c r="G47" s="20" t="s">
        <v>266</v>
      </c>
      <c r="H47" s="20" t="s">
        <v>267</v>
      </c>
      <c r="I47" s="26"/>
      <c r="J47" s="17" t="s">
        <v>268</v>
      </c>
      <c r="K47" s="22" t="s">
        <v>269</v>
      </c>
      <c r="L47" s="23" t="s">
        <v>32</v>
      </c>
    </row>
    <row r="48">
      <c r="A48" s="2">
        <v>41.0</v>
      </c>
      <c r="B48" s="7" t="s">
        <v>270</v>
      </c>
      <c r="C48" s="2" t="s">
        <v>233</v>
      </c>
      <c r="D48" s="2" t="s">
        <v>271</v>
      </c>
      <c r="E48" s="18" t="s">
        <v>25</v>
      </c>
      <c r="F48" s="20" t="s">
        <v>26</v>
      </c>
      <c r="G48" s="8" t="s">
        <v>272</v>
      </c>
      <c r="H48" s="2" t="s">
        <v>273</v>
      </c>
      <c r="I48" s="2" t="s">
        <v>274</v>
      </c>
      <c r="J48" s="17" t="s">
        <v>275</v>
      </c>
      <c r="K48" s="22" t="s">
        <v>276</v>
      </c>
      <c r="L48" s="23" t="s">
        <v>32</v>
      </c>
    </row>
    <row r="49">
      <c r="A49" s="19">
        <v>42.0</v>
      </c>
      <c r="B49" s="7" t="s">
        <v>277</v>
      </c>
      <c r="C49" s="2" t="s">
        <v>233</v>
      </c>
      <c r="D49" s="17" t="s">
        <v>278</v>
      </c>
      <c r="E49" s="27" t="s">
        <v>40</v>
      </c>
      <c r="F49" s="20" t="s">
        <v>26</v>
      </c>
      <c r="G49" s="17" t="s">
        <v>279</v>
      </c>
      <c r="H49" s="28" t="s">
        <v>280</v>
      </c>
      <c r="I49" s="28" t="s">
        <v>281</v>
      </c>
      <c r="J49" s="28" t="s">
        <v>282</v>
      </c>
      <c r="K49" s="22" t="s">
        <v>283</v>
      </c>
      <c r="L49" s="23" t="s">
        <v>32</v>
      </c>
    </row>
    <row r="50">
      <c r="A50" s="19">
        <v>43.0</v>
      </c>
      <c r="B50" s="7" t="s">
        <v>284</v>
      </c>
      <c r="C50" s="2" t="s">
        <v>233</v>
      </c>
      <c r="D50" s="17" t="s">
        <v>285</v>
      </c>
      <c r="E50" s="20" t="s">
        <v>40</v>
      </c>
      <c r="F50" s="20" t="s">
        <v>26</v>
      </c>
      <c r="G50" s="17" t="s">
        <v>286</v>
      </c>
      <c r="H50" s="17" t="s">
        <v>287</v>
      </c>
      <c r="I50" s="20" t="s">
        <v>288</v>
      </c>
      <c r="J50" s="17" t="s">
        <v>289</v>
      </c>
      <c r="K50" s="22" t="s">
        <v>290</v>
      </c>
      <c r="L50" s="23" t="s">
        <v>32</v>
      </c>
      <c r="N50" s="2" t="s">
        <v>291</v>
      </c>
    </row>
    <row r="51">
      <c r="A51" s="29">
        <v>44.0</v>
      </c>
      <c r="B51" s="7" t="s">
        <v>292</v>
      </c>
      <c r="C51" s="2" t="s">
        <v>233</v>
      </c>
      <c r="D51" s="17" t="s">
        <v>293</v>
      </c>
      <c r="E51" s="18" t="s">
        <v>40</v>
      </c>
      <c r="F51" s="18" t="s">
        <v>26</v>
      </c>
      <c r="G51" s="17" t="s">
        <v>294</v>
      </c>
      <c r="H51" s="17" t="s">
        <v>295</v>
      </c>
      <c r="I51" s="30"/>
      <c r="J51" s="17" t="s">
        <v>296</v>
      </c>
      <c r="K51" s="22" t="s">
        <v>297</v>
      </c>
      <c r="L51" s="23" t="s">
        <v>32</v>
      </c>
    </row>
    <row r="52">
      <c r="A52" s="2">
        <v>45.0</v>
      </c>
      <c r="B52" s="7" t="s">
        <v>298</v>
      </c>
      <c r="C52" s="2" t="s">
        <v>299</v>
      </c>
      <c r="D52" s="2" t="s">
        <v>300</v>
      </c>
      <c r="E52" s="2" t="s">
        <v>301</v>
      </c>
      <c r="F52" s="2" t="s">
        <v>302</v>
      </c>
      <c r="G52" s="8" t="s">
        <v>303</v>
      </c>
      <c r="H52" s="2" t="s">
        <v>304</v>
      </c>
      <c r="I52" s="2" t="s">
        <v>305</v>
      </c>
      <c r="J52" s="2" t="s">
        <v>306</v>
      </c>
      <c r="K52" s="22" t="s">
        <v>307</v>
      </c>
      <c r="L52" s="23" t="s">
        <v>32</v>
      </c>
    </row>
    <row r="53">
      <c r="A53" s="2">
        <v>46.0</v>
      </c>
      <c r="B53" s="2" t="s">
        <v>308</v>
      </c>
      <c r="C53" s="2" t="s">
        <v>299</v>
      </c>
      <c r="D53" s="2" t="s">
        <v>309</v>
      </c>
      <c r="E53" s="2" t="s">
        <v>40</v>
      </c>
      <c r="F53" s="2" t="s">
        <v>26</v>
      </c>
      <c r="G53" s="8" t="s">
        <v>303</v>
      </c>
      <c r="H53" s="2" t="s">
        <v>310</v>
      </c>
      <c r="I53" s="2" t="s">
        <v>311</v>
      </c>
      <c r="J53" s="2" t="s">
        <v>312</v>
      </c>
      <c r="K53" s="22" t="s">
        <v>313</v>
      </c>
      <c r="L53" s="23" t="s">
        <v>32</v>
      </c>
    </row>
    <row r="54">
      <c r="A54" s="2">
        <v>47.0</v>
      </c>
      <c r="B54" s="2" t="s">
        <v>314</v>
      </c>
      <c r="C54" s="2" t="s">
        <v>299</v>
      </c>
      <c r="D54" s="2" t="s">
        <v>315</v>
      </c>
      <c r="E54" s="2" t="s">
        <v>40</v>
      </c>
      <c r="F54" s="2" t="s">
        <v>26</v>
      </c>
      <c r="G54" s="8" t="s">
        <v>303</v>
      </c>
      <c r="H54" s="2" t="s">
        <v>316</v>
      </c>
      <c r="I54" s="2" t="s">
        <v>317</v>
      </c>
      <c r="J54" s="2" t="s">
        <v>318</v>
      </c>
      <c r="K54" s="22" t="s">
        <v>319</v>
      </c>
      <c r="L54" s="23" t="s">
        <v>32</v>
      </c>
    </row>
    <row r="55">
      <c r="A55" s="2">
        <v>48.0</v>
      </c>
      <c r="B55" s="2" t="s">
        <v>320</v>
      </c>
      <c r="C55" s="2" t="s">
        <v>299</v>
      </c>
      <c r="D55" s="2" t="s">
        <v>321</v>
      </c>
      <c r="E55" s="2" t="s">
        <v>40</v>
      </c>
      <c r="F55" s="2" t="s">
        <v>26</v>
      </c>
      <c r="G55" s="8" t="s">
        <v>303</v>
      </c>
      <c r="H55" s="2" t="s">
        <v>322</v>
      </c>
      <c r="I55" s="2" t="s">
        <v>323</v>
      </c>
      <c r="J55" s="2" t="s">
        <v>324</v>
      </c>
      <c r="K55" s="22" t="s">
        <v>325</v>
      </c>
      <c r="L55" s="23" t="s">
        <v>32</v>
      </c>
    </row>
    <row r="56">
      <c r="A56" s="2">
        <v>49.0</v>
      </c>
      <c r="B56" s="2" t="s">
        <v>326</v>
      </c>
      <c r="C56" s="2" t="s">
        <v>299</v>
      </c>
      <c r="D56" s="2" t="s">
        <v>327</v>
      </c>
      <c r="E56" s="2" t="s">
        <v>40</v>
      </c>
      <c r="F56" s="2" t="s">
        <v>26</v>
      </c>
      <c r="G56" s="8" t="s">
        <v>303</v>
      </c>
      <c r="H56" s="2" t="s">
        <v>328</v>
      </c>
      <c r="I56" s="2" t="s">
        <v>329</v>
      </c>
      <c r="J56" s="2" t="s">
        <v>330</v>
      </c>
      <c r="K56" s="22" t="s">
        <v>331</v>
      </c>
      <c r="L56" s="23" t="s">
        <v>32</v>
      </c>
    </row>
    <row r="57">
      <c r="A57" s="2">
        <v>50.0</v>
      </c>
      <c r="B57" s="2" t="s">
        <v>332</v>
      </c>
      <c r="C57" s="2" t="s">
        <v>299</v>
      </c>
      <c r="D57" s="22" t="s">
        <v>333</v>
      </c>
      <c r="E57" s="2" t="s">
        <v>25</v>
      </c>
      <c r="F57" s="2" t="s">
        <v>26</v>
      </c>
      <c r="G57" s="8" t="s">
        <v>303</v>
      </c>
      <c r="H57" s="2" t="s">
        <v>334</v>
      </c>
      <c r="J57" s="23" t="s">
        <v>335</v>
      </c>
      <c r="K57" s="22" t="s">
        <v>336</v>
      </c>
      <c r="L57" s="23" t="s">
        <v>32</v>
      </c>
    </row>
    <row r="58">
      <c r="A58" s="2">
        <v>51.0</v>
      </c>
      <c r="B58" s="2" t="s">
        <v>337</v>
      </c>
      <c r="C58" s="2" t="s">
        <v>299</v>
      </c>
      <c r="D58" s="2" t="s">
        <v>338</v>
      </c>
      <c r="E58" s="2" t="s">
        <v>25</v>
      </c>
      <c r="F58" s="2" t="s">
        <v>26</v>
      </c>
      <c r="G58" s="8" t="s">
        <v>303</v>
      </c>
      <c r="H58" s="28" t="s">
        <v>339</v>
      </c>
      <c r="I58" s="2" t="s">
        <v>340</v>
      </c>
      <c r="J58" s="2" t="s">
        <v>341</v>
      </c>
      <c r="K58" s="22" t="s">
        <v>342</v>
      </c>
      <c r="L58" s="23" t="s">
        <v>32</v>
      </c>
    </row>
    <row r="59">
      <c r="A59" s="31">
        <v>52.0</v>
      </c>
      <c r="B59" s="31" t="s">
        <v>343</v>
      </c>
      <c r="C59" s="31" t="s">
        <v>299</v>
      </c>
      <c r="D59" s="17" t="s">
        <v>344</v>
      </c>
      <c r="E59" s="31" t="s">
        <v>25</v>
      </c>
      <c r="F59" s="31" t="s">
        <v>26</v>
      </c>
      <c r="G59" s="32" t="s">
        <v>303</v>
      </c>
      <c r="H59" s="31" t="s">
        <v>345</v>
      </c>
      <c r="I59" s="31" t="s">
        <v>346</v>
      </c>
      <c r="J59" s="31" t="s">
        <v>347</v>
      </c>
      <c r="K59" s="22" t="s">
        <v>348</v>
      </c>
      <c r="L59" s="23" t="s">
        <v>32</v>
      </c>
    </row>
    <row r="60">
      <c r="A60" s="2">
        <v>53.0</v>
      </c>
      <c r="B60" s="31" t="s">
        <v>349</v>
      </c>
      <c r="C60" s="31" t="s">
        <v>299</v>
      </c>
      <c r="D60" s="2" t="s">
        <v>350</v>
      </c>
      <c r="E60" s="31" t="s">
        <v>25</v>
      </c>
      <c r="F60" s="31" t="s">
        <v>26</v>
      </c>
      <c r="G60" s="8" t="s">
        <v>303</v>
      </c>
      <c r="H60" s="2" t="s">
        <v>351</v>
      </c>
      <c r="I60" s="17" t="s">
        <v>352</v>
      </c>
      <c r="J60" s="28" t="s">
        <v>353</v>
      </c>
      <c r="K60" s="22" t="s">
        <v>354</v>
      </c>
      <c r="L60" s="23" t="s">
        <v>32</v>
      </c>
    </row>
    <row r="61">
      <c r="A61" s="2">
        <v>54.0</v>
      </c>
      <c r="B61" s="2" t="s">
        <v>355</v>
      </c>
      <c r="C61" s="31" t="s">
        <v>299</v>
      </c>
      <c r="D61" s="2" t="s">
        <v>356</v>
      </c>
      <c r="E61" s="31" t="s">
        <v>25</v>
      </c>
      <c r="F61" s="31" t="s">
        <v>26</v>
      </c>
      <c r="G61" s="8" t="s">
        <v>303</v>
      </c>
      <c r="H61" s="2" t="s">
        <v>357</v>
      </c>
      <c r="I61" s="17" t="s">
        <v>358</v>
      </c>
      <c r="J61" s="2" t="s">
        <v>359</v>
      </c>
      <c r="K61" s="22" t="s">
        <v>360</v>
      </c>
      <c r="L61" s="23" t="s">
        <v>32</v>
      </c>
    </row>
    <row r="62">
      <c r="A62" s="2">
        <v>55.0</v>
      </c>
      <c r="B62" s="2" t="s">
        <v>361</v>
      </c>
      <c r="C62" s="31" t="s">
        <v>299</v>
      </c>
      <c r="D62" s="2" t="s">
        <v>362</v>
      </c>
      <c r="E62" s="2" t="s">
        <v>40</v>
      </c>
      <c r="F62" s="31" t="s">
        <v>26</v>
      </c>
      <c r="G62" s="8" t="s">
        <v>303</v>
      </c>
      <c r="H62" s="2" t="s">
        <v>363</v>
      </c>
      <c r="I62" s="2" t="s">
        <v>364</v>
      </c>
      <c r="J62" s="23" t="s">
        <v>365</v>
      </c>
      <c r="K62" s="22" t="s">
        <v>365</v>
      </c>
      <c r="L62" s="23" t="s">
        <v>32</v>
      </c>
    </row>
    <row r="63">
      <c r="A63" s="2">
        <v>56.0</v>
      </c>
      <c r="B63" s="2" t="s">
        <v>366</v>
      </c>
      <c r="C63" s="31" t="s">
        <v>299</v>
      </c>
      <c r="D63" s="2" t="s">
        <v>367</v>
      </c>
      <c r="E63" s="2" t="s">
        <v>25</v>
      </c>
      <c r="F63" s="31" t="s">
        <v>26</v>
      </c>
      <c r="G63" s="8" t="s">
        <v>303</v>
      </c>
      <c r="H63" s="2" t="s">
        <v>368</v>
      </c>
      <c r="J63" s="28" t="s">
        <v>369</v>
      </c>
      <c r="K63" s="22" t="s">
        <v>370</v>
      </c>
      <c r="L63" s="23" t="s">
        <v>32</v>
      </c>
    </row>
    <row r="64">
      <c r="A64" s="2">
        <v>57.0</v>
      </c>
      <c r="B64" s="2" t="s">
        <v>371</v>
      </c>
      <c r="C64" s="2" t="s">
        <v>299</v>
      </c>
      <c r="D64" s="2" t="s">
        <v>372</v>
      </c>
      <c r="E64" s="2" t="s">
        <v>25</v>
      </c>
      <c r="F64" s="31" t="s">
        <v>26</v>
      </c>
      <c r="G64" s="17" t="s">
        <v>373</v>
      </c>
      <c r="H64" s="2" t="s">
        <v>374</v>
      </c>
      <c r="J64" s="28" t="s">
        <v>375</v>
      </c>
      <c r="K64" s="22" t="s">
        <v>376</v>
      </c>
      <c r="L64" s="23" t="s">
        <v>32</v>
      </c>
    </row>
    <row r="65" ht="91.5" customHeight="1">
      <c r="A65" s="2">
        <v>58.0</v>
      </c>
      <c r="B65" s="2" t="s">
        <v>377</v>
      </c>
      <c r="C65" s="2" t="s">
        <v>299</v>
      </c>
      <c r="D65" s="17" t="s">
        <v>378</v>
      </c>
      <c r="E65" s="2" t="s">
        <v>40</v>
      </c>
      <c r="F65" s="2" t="s">
        <v>26</v>
      </c>
      <c r="G65" s="8" t="s">
        <v>379</v>
      </c>
      <c r="H65" s="28" t="s">
        <v>380</v>
      </c>
      <c r="I65" s="17" t="s">
        <v>381</v>
      </c>
      <c r="J65" s="28" t="s">
        <v>382</v>
      </c>
      <c r="K65" s="22" t="s">
        <v>383</v>
      </c>
      <c r="L65" s="23" t="s">
        <v>32</v>
      </c>
      <c r="N65" s="23" t="s">
        <v>384</v>
      </c>
    </row>
    <row r="66">
      <c r="A66" s="33">
        <v>59.0</v>
      </c>
      <c r="B66" s="34" t="s">
        <v>385</v>
      </c>
      <c r="C66" s="35" t="s">
        <v>299</v>
      </c>
      <c r="D66" s="35" t="s">
        <v>386</v>
      </c>
      <c r="E66" s="34" t="s">
        <v>25</v>
      </c>
      <c r="F66" s="34" t="s">
        <v>26</v>
      </c>
      <c r="G66" s="35" t="s">
        <v>387</v>
      </c>
      <c r="H66" s="35" t="s">
        <v>388</v>
      </c>
      <c r="I66" s="35" t="s">
        <v>389</v>
      </c>
      <c r="J66" s="35" t="s">
        <v>390</v>
      </c>
      <c r="K66" s="23" t="s">
        <v>391</v>
      </c>
      <c r="L66" s="23" t="s">
        <v>32</v>
      </c>
    </row>
    <row r="67">
      <c r="A67" s="33">
        <v>60.0</v>
      </c>
      <c r="B67" s="34" t="s">
        <v>392</v>
      </c>
      <c r="C67" s="35" t="s">
        <v>299</v>
      </c>
      <c r="D67" s="35" t="s">
        <v>393</v>
      </c>
      <c r="E67" s="34" t="s">
        <v>40</v>
      </c>
      <c r="F67" s="34" t="s">
        <v>26</v>
      </c>
      <c r="G67" s="35" t="s">
        <v>394</v>
      </c>
      <c r="H67" s="35" t="s">
        <v>395</v>
      </c>
      <c r="I67" s="35" t="s">
        <v>396</v>
      </c>
      <c r="J67" s="35" t="s">
        <v>397</v>
      </c>
      <c r="K67" s="23" t="s">
        <v>398</v>
      </c>
      <c r="L67" s="23" t="s">
        <v>32</v>
      </c>
    </row>
    <row r="68" ht="16.5" customHeight="1">
      <c r="A68" s="29">
        <v>61.0</v>
      </c>
      <c r="B68" s="18" t="s">
        <v>399</v>
      </c>
      <c r="C68" s="17" t="s">
        <v>400</v>
      </c>
      <c r="D68" s="17" t="s">
        <v>401</v>
      </c>
      <c r="E68" s="18" t="s">
        <v>25</v>
      </c>
      <c r="F68" s="18" t="s">
        <v>402</v>
      </c>
      <c r="G68" s="17" t="s">
        <v>403</v>
      </c>
      <c r="H68" s="17" t="s">
        <v>404</v>
      </c>
      <c r="I68" s="30"/>
      <c r="J68" s="17" t="s">
        <v>405</v>
      </c>
      <c r="K68" s="23" t="s">
        <v>406</v>
      </c>
      <c r="L68" s="23" t="s">
        <v>32</v>
      </c>
    </row>
    <row r="69">
      <c r="A69" s="29">
        <v>62.0</v>
      </c>
      <c r="B69" s="18" t="s">
        <v>407</v>
      </c>
      <c r="C69" s="17" t="s">
        <v>400</v>
      </c>
      <c r="D69" s="17" t="s">
        <v>408</v>
      </c>
      <c r="E69" s="18" t="s">
        <v>25</v>
      </c>
      <c r="F69" s="18" t="s">
        <v>106</v>
      </c>
      <c r="G69" s="17" t="s">
        <v>403</v>
      </c>
      <c r="H69" s="17" t="s">
        <v>409</v>
      </c>
      <c r="I69" s="30"/>
      <c r="J69" s="17" t="s">
        <v>410</v>
      </c>
      <c r="K69" s="23" t="s">
        <v>411</v>
      </c>
      <c r="L69" s="23" t="s">
        <v>32</v>
      </c>
    </row>
    <row r="70">
      <c r="A70" s="29">
        <v>63.0</v>
      </c>
      <c r="B70" s="18" t="s">
        <v>412</v>
      </c>
      <c r="C70" s="17" t="s">
        <v>400</v>
      </c>
      <c r="D70" s="17" t="s">
        <v>413</v>
      </c>
      <c r="E70" s="18" t="s">
        <v>40</v>
      </c>
      <c r="F70" s="18" t="s">
        <v>106</v>
      </c>
      <c r="G70" s="17" t="s">
        <v>403</v>
      </c>
      <c r="H70" s="17" t="s">
        <v>414</v>
      </c>
      <c r="I70" s="30"/>
      <c r="J70" s="17" t="s">
        <v>415</v>
      </c>
      <c r="K70" s="23" t="s">
        <v>416</v>
      </c>
      <c r="L70" s="23" t="s">
        <v>32</v>
      </c>
    </row>
    <row r="71">
      <c r="A71" s="29">
        <v>64.0</v>
      </c>
      <c r="B71" s="18" t="s">
        <v>417</v>
      </c>
      <c r="C71" s="17" t="s">
        <v>400</v>
      </c>
      <c r="D71" s="25" t="s">
        <v>418</v>
      </c>
      <c r="E71" s="18" t="s">
        <v>25</v>
      </c>
      <c r="F71" s="18" t="s">
        <v>402</v>
      </c>
      <c r="G71" s="17" t="s">
        <v>403</v>
      </c>
      <c r="H71" s="17" t="s">
        <v>419</v>
      </c>
      <c r="I71" s="30"/>
      <c r="J71" s="17" t="s">
        <v>420</v>
      </c>
      <c r="K71" s="23" t="s">
        <v>421</v>
      </c>
      <c r="L71" s="23" t="s">
        <v>32</v>
      </c>
    </row>
    <row r="72">
      <c r="A72" s="29">
        <v>65.0</v>
      </c>
      <c r="B72" s="18" t="s">
        <v>422</v>
      </c>
      <c r="C72" s="17" t="s">
        <v>400</v>
      </c>
      <c r="D72" s="25" t="s">
        <v>423</v>
      </c>
      <c r="E72" s="18" t="s">
        <v>25</v>
      </c>
      <c r="F72" s="18" t="s">
        <v>402</v>
      </c>
      <c r="G72" s="17" t="s">
        <v>424</v>
      </c>
      <c r="H72" s="17" t="s">
        <v>425</v>
      </c>
      <c r="I72" s="30"/>
      <c r="J72" s="17" t="s">
        <v>426</v>
      </c>
      <c r="K72" s="23" t="s">
        <v>427</v>
      </c>
      <c r="L72" s="23" t="s">
        <v>32</v>
      </c>
    </row>
    <row r="73">
      <c r="A73" s="29">
        <v>66.0</v>
      </c>
      <c r="B73" s="18" t="s">
        <v>428</v>
      </c>
      <c r="C73" s="17" t="s">
        <v>400</v>
      </c>
      <c r="D73" s="25" t="s">
        <v>429</v>
      </c>
      <c r="E73" s="18" t="s">
        <v>25</v>
      </c>
      <c r="F73" s="18" t="s">
        <v>402</v>
      </c>
      <c r="G73" s="17" t="s">
        <v>403</v>
      </c>
      <c r="H73" s="17" t="s">
        <v>430</v>
      </c>
      <c r="I73" s="30"/>
      <c r="J73" s="17" t="s">
        <v>431</v>
      </c>
      <c r="K73" s="23" t="s">
        <v>432</v>
      </c>
      <c r="L73" s="23" t="s">
        <v>32</v>
      </c>
    </row>
    <row r="74">
      <c r="G74" s="3"/>
      <c r="L74" s="36"/>
    </row>
    <row r="75">
      <c r="G75" s="3"/>
      <c r="L75" s="36"/>
    </row>
    <row r="76">
      <c r="G76" s="3"/>
      <c r="L76" s="36"/>
    </row>
    <row r="77">
      <c r="G77" s="3"/>
      <c r="L77" s="36"/>
    </row>
    <row r="78">
      <c r="G78" s="3"/>
      <c r="L78" s="36"/>
    </row>
    <row r="79">
      <c r="G79" s="3"/>
      <c r="L79" s="36"/>
    </row>
    <row r="80">
      <c r="G80" s="3"/>
      <c r="L80" s="36"/>
    </row>
    <row r="81">
      <c r="G81" s="3"/>
      <c r="L81" s="36"/>
    </row>
    <row r="82">
      <c r="G82" s="3"/>
      <c r="L82" s="36"/>
    </row>
    <row r="83">
      <c r="G83" s="3"/>
      <c r="L83" s="36"/>
    </row>
    <row r="84">
      <c r="G84" s="3"/>
      <c r="L84" s="36"/>
    </row>
    <row r="85">
      <c r="G85" s="3"/>
      <c r="L85" s="36"/>
    </row>
    <row r="86">
      <c r="G86" s="3"/>
      <c r="L86" s="36"/>
    </row>
    <row r="87">
      <c r="G87" s="3"/>
      <c r="L87" s="36"/>
    </row>
    <row r="88">
      <c r="G88" s="3"/>
      <c r="L88" s="36"/>
    </row>
    <row r="89">
      <c r="G89" s="3"/>
      <c r="L89" s="36"/>
    </row>
    <row r="90">
      <c r="G90" s="3"/>
      <c r="L90" s="36"/>
    </row>
    <row r="91">
      <c r="G91" s="3"/>
      <c r="L91" s="36"/>
    </row>
    <row r="92">
      <c r="G92" s="3"/>
      <c r="L92" s="36"/>
    </row>
    <row r="93">
      <c r="G93" s="3"/>
      <c r="L93" s="36"/>
    </row>
    <row r="94">
      <c r="G94" s="3"/>
      <c r="L94" s="36"/>
    </row>
    <row r="95">
      <c r="G95" s="3"/>
      <c r="L95" s="36"/>
    </row>
    <row r="96">
      <c r="G96" s="3"/>
      <c r="L96" s="36"/>
    </row>
    <row r="97">
      <c r="G97" s="3"/>
      <c r="L97" s="36"/>
    </row>
    <row r="98">
      <c r="G98" s="3"/>
      <c r="L98" s="36"/>
    </row>
    <row r="99">
      <c r="G99" s="3"/>
      <c r="L99" s="36"/>
    </row>
    <row r="100">
      <c r="G100" s="3"/>
      <c r="L100" s="36"/>
    </row>
    <row r="101">
      <c r="G101" s="3"/>
      <c r="L101" s="36"/>
    </row>
    <row r="102">
      <c r="G102" s="3"/>
      <c r="L102" s="36"/>
    </row>
    <row r="103">
      <c r="G103" s="3"/>
      <c r="L103" s="36"/>
    </row>
    <row r="104">
      <c r="G104" s="3"/>
      <c r="L104" s="36"/>
    </row>
    <row r="105">
      <c r="G105" s="3"/>
      <c r="L105" s="36"/>
    </row>
    <row r="106">
      <c r="G106" s="3"/>
      <c r="L106" s="36"/>
    </row>
    <row r="107">
      <c r="G107" s="3"/>
      <c r="L107" s="36"/>
    </row>
    <row r="108">
      <c r="G108" s="3"/>
      <c r="L108" s="36"/>
    </row>
    <row r="109">
      <c r="G109" s="3"/>
      <c r="L109" s="36"/>
    </row>
    <row r="110">
      <c r="G110" s="3"/>
      <c r="L110" s="36"/>
    </row>
    <row r="111">
      <c r="G111" s="3"/>
      <c r="L111" s="36"/>
    </row>
    <row r="112">
      <c r="G112" s="3"/>
      <c r="L112" s="36"/>
    </row>
    <row r="113">
      <c r="G113" s="3"/>
      <c r="L113" s="36"/>
    </row>
    <row r="114">
      <c r="G114" s="3"/>
      <c r="L114" s="36"/>
    </row>
    <row r="115">
      <c r="G115" s="3"/>
      <c r="L115" s="36"/>
    </row>
    <row r="116">
      <c r="G116" s="3"/>
      <c r="L116" s="36"/>
    </row>
    <row r="117">
      <c r="G117" s="3"/>
      <c r="L117" s="36"/>
    </row>
    <row r="118">
      <c r="G118" s="3"/>
      <c r="L118" s="36"/>
    </row>
    <row r="119">
      <c r="G119" s="3"/>
      <c r="L119" s="36"/>
    </row>
    <row r="120">
      <c r="G120" s="3"/>
      <c r="L120" s="36"/>
    </row>
    <row r="121">
      <c r="G121" s="3"/>
      <c r="L121" s="36"/>
    </row>
    <row r="122">
      <c r="G122" s="3"/>
      <c r="L122" s="36"/>
    </row>
    <row r="123">
      <c r="G123" s="3"/>
      <c r="L123" s="36"/>
    </row>
    <row r="124">
      <c r="G124" s="3"/>
      <c r="L124" s="36"/>
    </row>
    <row r="125">
      <c r="G125" s="3"/>
      <c r="L125" s="36"/>
    </row>
    <row r="126">
      <c r="G126" s="3"/>
      <c r="L126" s="36"/>
    </row>
    <row r="127">
      <c r="G127" s="3"/>
      <c r="L127" s="36"/>
    </row>
    <row r="128">
      <c r="G128" s="3"/>
      <c r="L128" s="36"/>
    </row>
    <row r="129">
      <c r="G129" s="3"/>
      <c r="L129" s="36"/>
    </row>
    <row r="130">
      <c r="G130" s="3"/>
      <c r="L130" s="36"/>
    </row>
    <row r="131">
      <c r="G131" s="3"/>
      <c r="L131" s="36"/>
    </row>
    <row r="132">
      <c r="G132" s="3"/>
      <c r="L132" s="36"/>
    </row>
    <row r="133">
      <c r="G133" s="3"/>
      <c r="L133" s="36"/>
    </row>
    <row r="134">
      <c r="G134" s="3"/>
      <c r="L134" s="36"/>
    </row>
    <row r="135">
      <c r="G135" s="3"/>
      <c r="L135" s="36"/>
    </row>
    <row r="136">
      <c r="G136" s="3"/>
      <c r="L136" s="36"/>
    </row>
    <row r="137">
      <c r="G137" s="3"/>
      <c r="L137" s="36"/>
    </row>
    <row r="138">
      <c r="G138" s="3"/>
      <c r="L138" s="36"/>
    </row>
    <row r="139">
      <c r="G139" s="3"/>
      <c r="L139" s="36"/>
    </row>
    <row r="140">
      <c r="G140" s="3"/>
      <c r="L140" s="36"/>
    </row>
    <row r="141">
      <c r="G141" s="3"/>
      <c r="L141" s="36"/>
    </row>
    <row r="142">
      <c r="G142" s="3"/>
      <c r="L142" s="36"/>
    </row>
    <row r="143">
      <c r="G143" s="3"/>
      <c r="L143" s="36"/>
    </row>
    <row r="144">
      <c r="G144" s="3"/>
      <c r="L144" s="36"/>
    </row>
    <row r="145">
      <c r="G145" s="3"/>
      <c r="L145" s="36"/>
    </row>
    <row r="146">
      <c r="G146" s="3"/>
      <c r="L146" s="36"/>
    </row>
    <row r="147">
      <c r="G147" s="3"/>
      <c r="L147" s="36"/>
    </row>
    <row r="148">
      <c r="G148" s="3"/>
      <c r="L148" s="36"/>
    </row>
    <row r="149">
      <c r="G149" s="3"/>
      <c r="L149" s="36"/>
    </row>
    <row r="150">
      <c r="G150" s="3"/>
      <c r="L150" s="36"/>
    </row>
    <row r="151">
      <c r="G151" s="3"/>
      <c r="L151" s="36"/>
    </row>
    <row r="152">
      <c r="G152" s="3"/>
      <c r="L152" s="36"/>
    </row>
    <row r="153">
      <c r="G153" s="3"/>
      <c r="L153" s="36"/>
    </row>
    <row r="154">
      <c r="G154" s="3"/>
      <c r="L154" s="36"/>
    </row>
    <row r="155">
      <c r="G155" s="3"/>
      <c r="L155" s="36"/>
    </row>
    <row r="156">
      <c r="G156" s="3"/>
      <c r="L156" s="36"/>
    </row>
    <row r="157">
      <c r="G157" s="3"/>
      <c r="L157" s="36"/>
    </row>
    <row r="158">
      <c r="G158" s="3"/>
      <c r="L158" s="36"/>
    </row>
    <row r="159">
      <c r="G159" s="3"/>
      <c r="L159" s="36"/>
    </row>
    <row r="160">
      <c r="G160" s="3"/>
      <c r="L160" s="36"/>
    </row>
    <row r="161">
      <c r="G161" s="3"/>
      <c r="L161" s="36"/>
    </row>
    <row r="162">
      <c r="G162" s="3"/>
      <c r="L162" s="36"/>
    </row>
    <row r="163">
      <c r="G163" s="3"/>
      <c r="L163" s="36"/>
    </row>
    <row r="164">
      <c r="G164" s="3"/>
      <c r="L164" s="36"/>
    </row>
    <row r="165">
      <c r="G165" s="3"/>
      <c r="L165" s="36"/>
    </row>
    <row r="166">
      <c r="G166" s="3"/>
      <c r="L166" s="36"/>
    </row>
    <row r="167">
      <c r="G167" s="3"/>
      <c r="L167" s="36"/>
    </row>
    <row r="168">
      <c r="G168" s="3"/>
      <c r="L168" s="36"/>
    </row>
    <row r="169">
      <c r="G169" s="3"/>
      <c r="L169" s="36"/>
    </row>
    <row r="170">
      <c r="G170" s="3"/>
      <c r="L170" s="36"/>
    </row>
    <row r="171">
      <c r="G171" s="3"/>
      <c r="L171" s="36"/>
    </row>
    <row r="172">
      <c r="G172" s="3"/>
      <c r="L172" s="36"/>
    </row>
    <row r="173">
      <c r="G173" s="3"/>
      <c r="L173" s="36"/>
    </row>
    <row r="174">
      <c r="G174" s="3"/>
      <c r="L174" s="36"/>
    </row>
    <row r="175">
      <c r="G175" s="3"/>
      <c r="L175" s="36"/>
    </row>
    <row r="176">
      <c r="G176" s="3"/>
      <c r="L176" s="36"/>
    </row>
    <row r="177">
      <c r="G177" s="3"/>
      <c r="L177" s="36"/>
    </row>
    <row r="178">
      <c r="G178" s="3"/>
      <c r="L178" s="36"/>
    </row>
    <row r="179">
      <c r="G179" s="3"/>
      <c r="L179" s="36"/>
    </row>
    <row r="180">
      <c r="G180" s="3"/>
      <c r="L180" s="36"/>
    </row>
    <row r="181">
      <c r="G181" s="3"/>
      <c r="L181" s="36"/>
    </row>
    <row r="182">
      <c r="G182" s="3"/>
      <c r="L182" s="36"/>
    </row>
    <row r="183">
      <c r="G183" s="3"/>
      <c r="L183" s="36"/>
    </row>
    <row r="184">
      <c r="G184" s="3"/>
      <c r="L184" s="36"/>
    </row>
    <row r="185">
      <c r="G185" s="3"/>
      <c r="L185" s="36"/>
    </row>
    <row r="186">
      <c r="G186" s="3"/>
      <c r="L186" s="36"/>
    </row>
    <row r="187">
      <c r="G187" s="3"/>
      <c r="L187" s="36"/>
    </row>
    <row r="188">
      <c r="G188" s="3"/>
      <c r="L188" s="36"/>
    </row>
    <row r="189">
      <c r="G189" s="3"/>
      <c r="L189" s="36"/>
    </row>
    <row r="190">
      <c r="G190" s="3"/>
      <c r="L190" s="36"/>
    </row>
    <row r="191">
      <c r="G191" s="3"/>
      <c r="L191" s="36"/>
    </row>
    <row r="192">
      <c r="G192" s="3"/>
      <c r="L192" s="36"/>
    </row>
    <row r="193">
      <c r="G193" s="3"/>
      <c r="L193" s="36"/>
    </row>
    <row r="194">
      <c r="G194" s="3"/>
      <c r="L194" s="36"/>
    </row>
    <row r="195">
      <c r="G195" s="3"/>
      <c r="L195" s="36"/>
    </row>
    <row r="196">
      <c r="G196" s="3"/>
      <c r="L196" s="36"/>
    </row>
    <row r="197">
      <c r="G197" s="3"/>
      <c r="L197" s="36"/>
    </row>
    <row r="198">
      <c r="G198" s="3"/>
      <c r="L198" s="36"/>
    </row>
    <row r="199">
      <c r="G199" s="3"/>
      <c r="L199" s="36"/>
    </row>
    <row r="200">
      <c r="G200" s="3"/>
      <c r="L200" s="36"/>
    </row>
    <row r="201">
      <c r="G201" s="3"/>
      <c r="L201" s="36"/>
    </row>
    <row r="202">
      <c r="G202" s="3"/>
      <c r="L202" s="36"/>
    </row>
    <row r="203">
      <c r="G203" s="3"/>
      <c r="L203" s="36"/>
    </row>
    <row r="204">
      <c r="G204" s="3"/>
      <c r="L204" s="36"/>
    </row>
    <row r="205">
      <c r="G205" s="3"/>
      <c r="L205" s="36"/>
    </row>
    <row r="206">
      <c r="G206" s="3"/>
      <c r="L206" s="36"/>
    </row>
    <row r="207">
      <c r="G207" s="3"/>
      <c r="L207" s="36"/>
    </row>
    <row r="208">
      <c r="G208" s="3"/>
      <c r="L208" s="36"/>
    </row>
    <row r="209">
      <c r="G209" s="3"/>
      <c r="L209" s="36"/>
    </row>
    <row r="210">
      <c r="G210" s="3"/>
      <c r="L210" s="36"/>
    </row>
    <row r="211">
      <c r="G211" s="3"/>
      <c r="L211" s="36"/>
    </row>
    <row r="212">
      <c r="G212" s="3"/>
      <c r="L212" s="36"/>
    </row>
    <row r="213">
      <c r="G213" s="3"/>
      <c r="L213" s="36"/>
    </row>
    <row r="214">
      <c r="G214" s="3"/>
      <c r="L214" s="36"/>
    </row>
    <row r="215">
      <c r="G215" s="3"/>
      <c r="L215" s="36"/>
    </row>
    <row r="216">
      <c r="G216" s="3"/>
      <c r="L216" s="36"/>
    </row>
    <row r="217">
      <c r="G217" s="3"/>
      <c r="L217" s="36"/>
    </row>
    <row r="218">
      <c r="G218" s="3"/>
      <c r="L218" s="36"/>
    </row>
    <row r="219">
      <c r="G219" s="3"/>
      <c r="L219" s="36"/>
    </row>
    <row r="220">
      <c r="G220" s="3"/>
      <c r="L220" s="36"/>
    </row>
    <row r="221">
      <c r="G221" s="3"/>
      <c r="L221" s="36"/>
    </row>
    <row r="222">
      <c r="G222" s="3"/>
      <c r="L222" s="36"/>
    </row>
    <row r="223">
      <c r="G223" s="3"/>
      <c r="L223" s="36"/>
    </row>
    <row r="224">
      <c r="G224" s="3"/>
      <c r="L224" s="36"/>
    </row>
    <row r="225">
      <c r="G225" s="3"/>
      <c r="L225" s="36"/>
    </row>
    <row r="226">
      <c r="G226" s="3"/>
      <c r="L226" s="36"/>
    </row>
    <row r="227">
      <c r="G227" s="3"/>
      <c r="L227" s="36"/>
    </row>
    <row r="228">
      <c r="G228" s="3"/>
      <c r="L228" s="36"/>
    </row>
    <row r="229">
      <c r="G229" s="3"/>
      <c r="L229" s="36"/>
    </row>
    <row r="230">
      <c r="G230" s="3"/>
      <c r="L230" s="36"/>
    </row>
    <row r="231">
      <c r="G231" s="3"/>
      <c r="L231" s="36"/>
    </row>
    <row r="232">
      <c r="G232" s="3"/>
      <c r="L232" s="36"/>
    </row>
    <row r="233">
      <c r="G233" s="3"/>
      <c r="L233" s="36"/>
    </row>
    <row r="234">
      <c r="G234" s="3"/>
      <c r="L234" s="36"/>
    </row>
    <row r="235">
      <c r="G235" s="3"/>
      <c r="L235" s="36"/>
    </row>
    <row r="236">
      <c r="G236" s="3"/>
      <c r="L236" s="36"/>
    </row>
    <row r="237">
      <c r="G237" s="3"/>
      <c r="L237" s="36"/>
    </row>
    <row r="238">
      <c r="G238" s="3"/>
      <c r="L238" s="36"/>
    </row>
    <row r="239">
      <c r="G239" s="3"/>
      <c r="L239" s="36"/>
    </row>
    <row r="240">
      <c r="G240" s="3"/>
      <c r="L240" s="36"/>
    </row>
    <row r="241">
      <c r="G241" s="3"/>
      <c r="L241" s="36"/>
    </row>
    <row r="242">
      <c r="G242" s="3"/>
      <c r="L242" s="36"/>
    </row>
    <row r="243">
      <c r="G243" s="3"/>
      <c r="L243" s="36"/>
    </row>
    <row r="244">
      <c r="G244" s="3"/>
      <c r="L244" s="36"/>
    </row>
    <row r="245">
      <c r="G245" s="3"/>
      <c r="L245" s="36"/>
    </row>
    <row r="246">
      <c r="G246" s="3"/>
      <c r="L246" s="36"/>
    </row>
    <row r="247">
      <c r="G247" s="3"/>
      <c r="L247" s="36"/>
    </row>
    <row r="248">
      <c r="G248" s="3"/>
      <c r="L248" s="36"/>
    </row>
    <row r="249">
      <c r="G249" s="3"/>
      <c r="L249" s="36"/>
    </row>
    <row r="250">
      <c r="G250" s="3"/>
      <c r="L250" s="36"/>
    </row>
    <row r="251">
      <c r="G251" s="3"/>
      <c r="L251" s="36"/>
    </row>
    <row r="252">
      <c r="G252" s="3"/>
      <c r="L252" s="36"/>
    </row>
    <row r="253">
      <c r="G253" s="3"/>
      <c r="L253" s="36"/>
    </row>
    <row r="254">
      <c r="G254" s="3"/>
      <c r="L254" s="36"/>
    </row>
    <row r="255">
      <c r="G255" s="3"/>
      <c r="L255" s="36"/>
    </row>
    <row r="256">
      <c r="G256" s="3"/>
      <c r="L256" s="36"/>
    </row>
    <row r="257">
      <c r="G257" s="3"/>
      <c r="L257" s="36"/>
    </row>
    <row r="258">
      <c r="G258" s="3"/>
      <c r="L258" s="36"/>
    </row>
    <row r="259">
      <c r="G259" s="3"/>
      <c r="L259" s="36"/>
    </row>
    <row r="260">
      <c r="G260" s="3"/>
      <c r="L260" s="36"/>
    </row>
    <row r="261">
      <c r="G261" s="3"/>
      <c r="L261" s="36"/>
    </row>
    <row r="262">
      <c r="G262" s="3"/>
      <c r="L262" s="36"/>
    </row>
    <row r="263">
      <c r="G263" s="3"/>
      <c r="L263" s="36"/>
    </row>
    <row r="264">
      <c r="G264" s="3"/>
      <c r="L264" s="36"/>
    </row>
    <row r="265">
      <c r="G265" s="3"/>
      <c r="L265" s="36"/>
    </row>
    <row r="266">
      <c r="G266" s="3"/>
      <c r="L266" s="36"/>
    </row>
    <row r="267">
      <c r="G267" s="3"/>
      <c r="L267" s="36"/>
    </row>
    <row r="268">
      <c r="G268" s="3"/>
      <c r="L268" s="36"/>
    </row>
    <row r="269">
      <c r="G269" s="3"/>
      <c r="L269" s="36"/>
    </row>
    <row r="270">
      <c r="G270" s="3"/>
      <c r="L270" s="36"/>
    </row>
    <row r="271">
      <c r="G271" s="3"/>
      <c r="L271" s="36"/>
    </row>
    <row r="272">
      <c r="G272" s="3"/>
      <c r="L272" s="36"/>
    </row>
    <row r="273">
      <c r="G273" s="3"/>
      <c r="L273" s="36"/>
    </row>
    <row r="274">
      <c r="G274" s="3"/>
      <c r="L274" s="36"/>
    </row>
    <row r="275">
      <c r="G275" s="3"/>
      <c r="L275" s="36"/>
    </row>
    <row r="276">
      <c r="G276" s="3"/>
      <c r="L276" s="36"/>
    </row>
    <row r="277">
      <c r="G277" s="3"/>
      <c r="L277" s="36"/>
    </row>
    <row r="278">
      <c r="G278" s="3"/>
      <c r="L278" s="36"/>
    </row>
    <row r="279">
      <c r="G279" s="3"/>
      <c r="L279" s="36"/>
    </row>
    <row r="280">
      <c r="G280" s="3"/>
      <c r="L280" s="36"/>
    </row>
    <row r="281">
      <c r="G281" s="3"/>
      <c r="L281" s="36"/>
    </row>
    <row r="282">
      <c r="G282" s="3"/>
      <c r="L282" s="36"/>
    </row>
    <row r="283">
      <c r="G283" s="3"/>
      <c r="L283" s="36"/>
    </row>
    <row r="284">
      <c r="G284" s="3"/>
      <c r="L284" s="36"/>
    </row>
    <row r="285">
      <c r="G285" s="3"/>
      <c r="L285" s="36"/>
    </row>
    <row r="286">
      <c r="G286" s="3"/>
      <c r="L286" s="36"/>
    </row>
    <row r="287">
      <c r="G287" s="3"/>
      <c r="L287" s="36"/>
    </row>
    <row r="288">
      <c r="G288" s="3"/>
      <c r="L288" s="36"/>
    </row>
    <row r="289">
      <c r="G289" s="3"/>
      <c r="L289" s="36"/>
    </row>
    <row r="290">
      <c r="G290" s="3"/>
      <c r="L290" s="36"/>
    </row>
    <row r="291">
      <c r="G291" s="3"/>
      <c r="L291" s="36"/>
    </row>
    <row r="292">
      <c r="G292" s="3"/>
      <c r="L292" s="36"/>
    </row>
    <row r="293">
      <c r="G293" s="3"/>
      <c r="L293" s="36"/>
    </row>
    <row r="294">
      <c r="G294" s="3"/>
      <c r="L294" s="36"/>
    </row>
    <row r="295">
      <c r="G295" s="3"/>
      <c r="L295" s="36"/>
    </row>
    <row r="296">
      <c r="G296" s="3"/>
      <c r="L296" s="36"/>
    </row>
    <row r="297">
      <c r="G297" s="3"/>
      <c r="L297" s="36"/>
    </row>
    <row r="298">
      <c r="G298" s="3"/>
      <c r="L298" s="36"/>
    </row>
    <row r="299">
      <c r="G299" s="3"/>
      <c r="L299" s="36"/>
    </row>
    <row r="300">
      <c r="G300" s="3"/>
      <c r="L300" s="36"/>
    </row>
    <row r="301">
      <c r="G301" s="3"/>
      <c r="L301" s="36"/>
    </row>
    <row r="302">
      <c r="G302" s="3"/>
      <c r="L302" s="36"/>
    </row>
    <row r="303">
      <c r="G303" s="3"/>
      <c r="L303" s="36"/>
    </row>
    <row r="304">
      <c r="G304" s="3"/>
      <c r="L304" s="36"/>
    </row>
    <row r="305">
      <c r="G305" s="3"/>
      <c r="L305" s="36"/>
    </row>
    <row r="306">
      <c r="G306" s="3"/>
      <c r="L306" s="36"/>
    </row>
    <row r="307">
      <c r="G307" s="3"/>
      <c r="L307" s="36"/>
    </row>
    <row r="308">
      <c r="G308" s="3"/>
      <c r="L308" s="36"/>
    </row>
    <row r="309">
      <c r="G309" s="3"/>
      <c r="L309" s="36"/>
    </row>
    <row r="310">
      <c r="G310" s="3"/>
      <c r="L310" s="36"/>
    </row>
    <row r="311">
      <c r="G311" s="3"/>
      <c r="L311" s="36"/>
    </row>
    <row r="312">
      <c r="G312" s="3"/>
      <c r="L312" s="36"/>
    </row>
    <row r="313">
      <c r="G313" s="3"/>
      <c r="L313" s="36"/>
    </row>
    <row r="314">
      <c r="G314" s="3"/>
      <c r="L314" s="36"/>
    </row>
    <row r="315">
      <c r="G315" s="3"/>
      <c r="L315" s="36"/>
    </row>
    <row r="316">
      <c r="G316" s="3"/>
      <c r="L316" s="36"/>
    </row>
    <row r="317">
      <c r="G317" s="3"/>
      <c r="L317" s="36"/>
    </row>
    <row r="318">
      <c r="G318" s="3"/>
      <c r="L318" s="36"/>
    </row>
    <row r="319">
      <c r="G319" s="3"/>
      <c r="L319" s="36"/>
    </row>
    <row r="320">
      <c r="G320" s="3"/>
      <c r="L320" s="36"/>
    </row>
    <row r="321">
      <c r="G321" s="3"/>
      <c r="L321" s="36"/>
    </row>
    <row r="322">
      <c r="G322" s="3"/>
      <c r="L322" s="36"/>
    </row>
    <row r="323">
      <c r="G323" s="3"/>
      <c r="L323" s="36"/>
    </row>
    <row r="324">
      <c r="G324" s="3"/>
      <c r="L324" s="36"/>
    </row>
    <row r="325">
      <c r="G325" s="3"/>
      <c r="L325" s="36"/>
    </row>
    <row r="326">
      <c r="G326" s="3"/>
      <c r="L326" s="36"/>
    </row>
    <row r="327">
      <c r="G327" s="3"/>
      <c r="L327" s="36"/>
    </row>
    <row r="328">
      <c r="G328" s="3"/>
      <c r="L328" s="36"/>
    </row>
    <row r="329">
      <c r="G329" s="3"/>
      <c r="L329" s="36"/>
    </row>
    <row r="330">
      <c r="G330" s="3"/>
      <c r="L330" s="36"/>
    </row>
    <row r="331">
      <c r="G331" s="3"/>
      <c r="L331" s="36"/>
    </row>
    <row r="332">
      <c r="G332" s="3"/>
      <c r="L332" s="36"/>
    </row>
    <row r="333">
      <c r="G333" s="3"/>
      <c r="L333" s="36"/>
    </row>
    <row r="334">
      <c r="G334" s="3"/>
      <c r="L334" s="36"/>
    </row>
    <row r="335">
      <c r="G335" s="3"/>
      <c r="L335" s="36"/>
    </row>
    <row r="336">
      <c r="G336" s="3"/>
      <c r="L336" s="36"/>
    </row>
    <row r="337">
      <c r="G337" s="3"/>
      <c r="L337" s="36"/>
    </row>
    <row r="338">
      <c r="G338" s="3"/>
      <c r="L338" s="36"/>
    </row>
    <row r="339">
      <c r="G339" s="3"/>
      <c r="L339" s="36"/>
    </row>
    <row r="340">
      <c r="G340" s="3"/>
      <c r="L340" s="36"/>
    </row>
    <row r="341">
      <c r="G341" s="3"/>
      <c r="L341" s="36"/>
    </row>
    <row r="342">
      <c r="G342" s="3"/>
      <c r="L342" s="36"/>
    </row>
    <row r="343">
      <c r="G343" s="3"/>
      <c r="L343" s="36"/>
    </row>
    <row r="344">
      <c r="G344" s="3"/>
      <c r="L344" s="36"/>
    </row>
    <row r="345">
      <c r="G345" s="3"/>
      <c r="L345" s="36"/>
    </row>
    <row r="346">
      <c r="G346" s="3"/>
      <c r="L346" s="36"/>
    </row>
    <row r="347">
      <c r="G347" s="3"/>
      <c r="L347" s="36"/>
    </row>
    <row r="348">
      <c r="G348" s="3"/>
      <c r="L348" s="36"/>
    </row>
    <row r="349">
      <c r="G349" s="3"/>
      <c r="L349" s="36"/>
    </row>
    <row r="350">
      <c r="G350" s="3"/>
      <c r="L350" s="36"/>
    </row>
    <row r="351">
      <c r="G351" s="3"/>
      <c r="L351" s="36"/>
    </row>
    <row r="352">
      <c r="G352" s="3"/>
      <c r="L352" s="36"/>
    </row>
    <row r="353">
      <c r="G353" s="3"/>
      <c r="L353" s="36"/>
    </row>
    <row r="354">
      <c r="G354" s="3"/>
      <c r="L354" s="36"/>
    </row>
    <row r="355">
      <c r="G355" s="3"/>
      <c r="L355" s="36"/>
    </row>
    <row r="356">
      <c r="G356" s="3"/>
      <c r="L356" s="36"/>
    </row>
    <row r="357">
      <c r="G357" s="3"/>
      <c r="L357" s="36"/>
    </row>
    <row r="358">
      <c r="G358" s="3"/>
      <c r="L358" s="36"/>
    </row>
    <row r="359">
      <c r="G359" s="3"/>
      <c r="L359" s="36"/>
    </row>
    <row r="360">
      <c r="G360" s="3"/>
      <c r="L360" s="36"/>
    </row>
    <row r="361">
      <c r="G361" s="3"/>
      <c r="L361" s="36"/>
    </row>
    <row r="362">
      <c r="G362" s="3"/>
      <c r="L362" s="36"/>
    </row>
    <row r="363">
      <c r="G363" s="3"/>
      <c r="L363" s="36"/>
    </row>
    <row r="364">
      <c r="G364" s="3"/>
      <c r="L364" s="36"/>
    </row>
    <row r="365">
      <c r="G365" s="3"/>
      <c r="L365" s="36"/>
    </row>
    <row r="366">
      <c r="G366" s="3"/>
      <c r="L366" s="36"/>
    </row>
    <row r="367">
      <c r="G367" s="3"/>
      <c r="L367" s="36"/>
    </row>
    <row r="368">
      <c r="G368" s="3"/>
      <c r="L368" s="36"/>
    </row>
    <row r="369">
      <c r="G369" s="3"/>
      <c r="L369" s="36"/>
    </row>
    <row r="370">
      <c r="G370" s="3"/>
      <c r="L370" s="36"/>
    </row>
    <row r="371">
      <c r="G371" s="3"/>
      <c r="L371" s="36"/>
    </row>
    <row r="372">
      <c r="G372" s="3"/>
      <c r="L372" s="36"/>
    </row>
    <row r="373">
      <c r="G373" s="3"/>
      <c r="L373" s="36"/>
    </row>
    <row r="374">
      <c r="G374" s="3"/>
      <c r="L374" s="36"/>
    </row>
    <row r="375">
      <c r="G375" s="3"/>
      <c r="L375" s="36"/>
    </row>
    <row r="376">
      <c r="G376" s="3"/>
      <c r="L376" s="36"/>
    </row>
    <row r="377">
      <c r="G377" s="3"/>
      <c r="L377" s="36"/>
    </row>
    <row r="378">
      <c r="G378" s="3"/>
      <c r="L378" s="36"/>
    </row>
    <row r="379">
      <c r="G379" s="3"/>
      <c r="L379" s="36"/>
    </row>
    <row r="380">
      <c r="G380" s="3"/>
      <c r="L380" s="36"/>
    </row>
    <row r="381">
      <c r="G381" s="3"/>
      <c r="L381" s="36"/>
    </row>
    <row r="382">
      <c r="G382" s="3"/>
      <c r="L382" s="36"/>
    </row>
    <row r="383">
      <c r="G383" s="3"/>
      <c r="L383" s="36"/>
    </row>
    <row r="384">
      <c r="G384" s="3"/>
      <c r="L384" s="36"/>
    </row>
    <row r="385">
      <c r="G385" s="3"/>
      <c r="L385" s="36"/>
    </row>
    <row r="386">
      <c r="G386" s="3"/>
      <c r="L386" s="36"/>
    </row>
    <row r="387">
      <c r="G387" s="3"/>
      <c r="L387" s="36"/>
    </row>
    <row r="388">
      <c r="G388" s="3"/>
      <c r="L388" s="36"/>
    </row>
    <row r="389">
      <c r="G389" s="3"/>
      <c r="L389" s="36"/>
    </row>
    <row r="390">
      <c r="G390" s="3"/>
      <c r="L390" s="36"/>
    </row>
    <row r="391">
      <c r="G391" s="3"/>
      <c r="L391" s="36"/>
    </row>
    <row r="392">
      <c r="G392" s="3"/>
      <c r="L392" s="36"/>
    </row>
    <row r="393">
      <c r="G393" s="3"/>
      <c r="L393" s="36"/>
    </row>
    <row r="394">
      <c r="G394" s="3"/>
      <c r="L394" s="36"/>
    </row>
    <row r="395">
      <c r="G395" s="3"/>
      <c r="L395" s="36"/>
    </row>
    <row r="396">
      <c r="G396" s="3"/>
      <c r="L396" s="36"/>
    </row>
    <row r="397">
      <c r="G397" s="3"/>
      <c r="L397" s="36"/>
    </row>
    <row r="398">
      <c r="G398" s="3"/>
      <c r="L398" s="36"/>
    </row>
    <row r="399">
      <c r="G399" s="3"/>
      <c r="L399" s="36"/>
    </row>
    <row r="400">
      <c r="G400" s="3"/>
      <c r="L400" s="36"/>
    </row>
    <row r="401">
      <c r="G401" s="3"/>
      <c r="L401" s="36"/>
    </row>
    <row r="402">
      <c r="G402" s="3"/>
      <c r="L402" s="36"/>
    </row>
    <row r="403">
      <c r="G403" s="3"/>
      <c r="L403" s="36"/>
    </row>
    <row r="404">
      <c r="G404" s="3"/>
      <c r="L404" s="36"/>
    </row>
    <row r="405">
      <c r="G405" s="3"/>
      <c r="L405" s="36"/>
    </row>
    <row r="406">
      <c r="G406" s="3"/>
      <c r="L406" s="36"/>
    </row>
    <row r="407">
      <c r="G407" s="3"/>
      <c r="L407" s="36"/>
    </row>
    <row r="408">
      <c r="G408" s="3"/>
      <c r="L408" s="36"/>
    </row>
    <row r="409">
      <c r="G409" s="3"/>
      <c r="L409" s="36"/>
    </row>
    <row r="410">
      <c r="G410" s="3"/>
      <c r="L410" s="36"/>
    </row>
    <row r="411">
      <c r="G411" s="3"/>
      <c r="L411" s="36"/>
    </row>
    <row r="412">
      <c r="G412" s="3"/>
      <c r="L412" s="36"/>
    </row>
    <row r="413">
      <c r="G413" s="3"/>
      <c r="L413" s="36"/>
    </row>
    <row r="414">
      <c r="G414" s="3"/>
      <c r="L414" s="36"/>
    </row>
    <row r="415">
      <c r="G415" s="3"/>
      <c r="L415" s="36"/>
    </row>
    <row r="416">
      <c r="G416" s="3"/>
      <c r="L416" s="36"/>
    </row>
    <row r="417">
      <c r="G417" s="3"/>
      <c r="L417" s="36"/>
    </row>
    <row r="418">
      <c r="G418" s="3"/>
      <c r="L418" s="36"/>
    </row>
    <row r="419">
      <c r="G419" s="3"/>
      <c r="L419" s="36"/>
    </row>
    <row r="420">
      <c r="G420" s="3"/>
      <c r="L420" s="36"/>
    </row>
    <row r="421">
      <c r="G421" s="3"/>
      <c r="L421" s="36"/>
    </row>
    <row r="422">
      <c r="G422" s="3"/>
      <c r="L422" s="36"/>
    </row>
    <row r="423">
      <c r="G423" s="3"/>
      <c r="L423" s="36"/>
    </row>
    <row r="424">
      <c r="G424" s="3"/>
      <c r="L424" s="36"/>
    </row>
    <row r="425">
      <c r="G425" s="3"/>
      <c r="L425" s="36"/>
    </row>
    <row r="426">
      <c r="G426" s="3"/>
      <c r="L426" s="36"/>
    </row>
    <row r="427">
      <c r="G427" s="3"/>
      <c r="L427" s="36"/>
    </row>
    <row r="428">
      <c r="G428" s="3"/>
      <c r="L428" s="36"/>
    </row>
    <row r="429">
      <c r="G429" s="3"/>
      <c r="L429" s="36"/>
    </row>
    <row r="430">
      <c r="G430" s="3"/>
      <c r="L430" s="36"/>
    </row>
    <row r="431">
      <c r="G431" s="3"/>
      <c r="L431" s="36"/>
    </row>
    <row r="432">
      <c r="G432" s="3"/>
      <c r="L432" s="36"/>
    </row>
    <row r="433">
      <c r="G433" s="3"/>
      <c r="L433" s="36"/>
    </row>
    <row r="434">
      <c r="G434" s="3"/>
      <c r="L434" s="36"/>
    </row>
    <row r="435">
      <c r="G435" s="3"/>
      <c r="L435" s="36"/>
    </row>
    <row r="436">
      <c r="G436" s="3"/>
      <c r="L436" s="36"/>
    </row>
    <row r="437">
      <c r="G437" s="3"/>
      <c r="L437" s="36"/>
    </row>
    <row r="438">
      <c r="G438" s="3"/>
      <c r="L438" s="36"/>
    </row>
    <row r="439">
      <c r="G439" s="3"/>
      <c r="L439" s="36"/>
    </row>
    <row r="440">
      <c r="G440" s="3"/>
      <c r="L440" s="36"/>
    </row>
    <row r="441">
      <c r="G441" s="3"/>
      <c r="L441" s="36"/>
    </row>
    <row r="442">
      <c r="G442" s="3"/>
      <c r="L442" s="36"/>
    </row>
    <row r="443">
      <c r="G443" s="3"/>
      <c r="L443" s="36"/>
    </row>
    <row r="444">
      <c r="G444" s="3"/>
      <c r="L444" s="36"/>
    </row>
    <row r="445">
      <c r="G445" s="3"/>
      <c r="L445" s="36"/>
    </row>
    <row r="446">
      <c r="G446" s="3"/>
      <c r="L446" s="36"/>
    </row>
    <row r="447">
      <c r="G447" s="3"/>
      <c r="L447" s="36"/>
    </row>
    <row r="448">
      <c r="G448" s="3"/>
      <c r="L448" s="36"/>
    </row>
    <row r="449">
      <c r="G449" s="3"/>
      <c r="L449" s="36"/>
    </row>
    <row r="450">
      <c r="G450" s="3"/>
      <c r="L450" s="36"/>
    </row>
    <row r="451">
      <c r="G451" s="3"/>
      <c r="L451" s="36"/>
    </row>
    <row r="452">
      <c r="G452" s="3"/>
      <c r="L452" s="36"/>
    </row>
    <row r="453">
      <c r="G453" s="3"/>
      <c r="L453" s="36"/>
    </row>
    <row r="454">
      <c r="G454" s="3"/>
      <c r="L454" s="36"/>
    </row>
    <row r="455">
      <c r="G455" s="3"/>
      <c r="L455" s="36"/>
    </row>
    <row r="456">
      <c r="G456" s="3"/>
      <c r="L456" s="36"/>
    </row>
    <row r="457">
      <c r="G457" s="3"/>
      <c r="L457" s="36"/>
    </row>
    <row r="458">
      <c r="G458" s="3"/>
      <c r="L458" s="36"/>
    </row>
    <row r="459">
      <c r="G459" s="3"/>
      <c r="L459" s="36"/>
    </row>
    <row r="460">
      <c r="G460" s="3"/>
      <c r="L460" s="36"/>
    </row>
    <row r="461">
      <c r="G461" s="3"/>
      <c r="L461" s="36"/>
    </row>
    <row r="462">
      <c r="G462" s="3"/>
      <c r="L462" s="36"/>
    </row>
    <row r="463">
      <c r="G463" s="3"/>
      <c r="L463" s="36"/>
    </row>
    <row r="464">
      <c r="G464" s="3"/>
      <c r="L464" s="36"/>
    </row>
    <row r="465">
      <c r="G465" s="3"/>
      <c r="L465" s="36"/>
    </row>
    <row r="466">
      <c r="G466" s="3"/>
      <c r="L466" s="36"/>
    </row>
    <row r="467">
      <c r="G467" s="3"/>
      <c r="L467" s="36"/>
    </row>
    <row r="468">
      <c r="G468" s="3"/>
      <c r="L468" s="36"/>
    </row>
    <row r="469">
      <c r="G469" s="3"/>
      <c r="L469" s="36"/>
    </row>
    <row r="470">
      <c r="G470" s="3"/>
      <c r="L470" s="36"/>
    </row>
    <row r="471">
      <c r="G471" s="3"/>
      <c r="L471" s="36"/>
    </row>
    <row r="472">
      <c r="G472" s="3"/>
      <c r="L472" s="36"/>
    </row>
    <row r="473">
      <c r="G473" s="3"/>
      <c r="L473" s="36"/>
    </row>
    <row r="474">
      <c r="G474" s="3"/>
      <c r="L474" s="36"/>
    </row>
    <row r="475">
      <c r="G475" s="3"/>
      <c r="L475" s="36"/>
    </row>
    <row r="476">
      <c r="G476" s="3"/>
      <c r="L476" s="36"/>
    </row>
    <row r="477">
      <c r="G477" s="3"/>
      <c r="L477" s="36"/>
    </row>
    <row r="478">
      <c r="G478" s="3"/>
      <c r="L478" s="36"/>
    </row>
    <row r="479">
      <c r="G479" s="3"/>
      <c r="L479" s="36"/>
    </row>
    <row r="480">
      <c r="G480" s="3"/>
      <c r="L480" s="36"/>
    </row>
    <row r="481">
      <c r="G481" s="3"/>
      <c r="L481" s="36"/>
    </row>
    <row r="482">
      <c r="G482" s="3"/>
      <c r="L482" s="36"/>
    </row>
    <row r="483">
      <c r="G483" s="3"/>
      <c r="L483" s="36"/>
    </row>
    <row r="484">
      <c r="G484" s="3"/>
      <c r="L484" s="36"/>
    </row>
    <row r="485">
      <c r="G485" s="3"/>
      <c r="L485" s="36"/>
    </row>
    <row r="486">
      <c r="G486" s="3"/>
      <c r="L486" s="36"/>
    </row>
    <row r="487">
      <c r="G487" s="3"/>
      <c r="L487" s="36"/>
    </row>
    <row r="488">
      <c r="G488" s="3"/>
      <c r="L488" s="36"/>
    </row>
    <row r="489">
      <c r="G489" s="3"/>
      <c r="L489" s="36"/>
    </row>
    <row r="490">
      <c r="G490" s="3"/>
      <c r="L490" s="36"/>
    </row>
    <row r="491">
      <c r="G491" s="3"/>
      <c r="L491" s="36"/>
    </row>
    <row r="492">
      <c r="G492" s="3"/>
      <c r="L492" s="36"/>
    </row>
    <row r="493">
      <c r="G493" s="3"/>
      <c r="L493" s="36"/>
    </row>
    <row r="494">
      <c r="G494" s="3"/>
      <c r="L494" s="36"/>
    </row>
    <row r="495">
      <c r="G495" s="3"/>
      <c r="L495" s="36"/>
    </row>
    <row r="496">
      <c r="G496" s="3"/>
      <c r="L496" s="36"/>
    </row>
    <row r="497">
      <c r="G497" s="3"/>
      <c r="L497" s="36"/>
    </row>
    <row r="498">
      <c r="G498" s="3"/>
      <c r="L498" s="36"/>
    </row>
    <row r="499">
      <c r="G499" s="3"/>
      <c r="L499" s="36"/>
    </row>
    <row r="500">
      <c r="G500" s="3"/>
      <c r="L500" s="36"/>
    </row>
    <row r="501">
      <c r="G501" s="3"/>
      <c r="L501" s="36"/>
    </row>
    <row r="502">
      <c r="G502" s="3"/>
      <c r="L502" s="36"/>
    </row>
    <row r="503">
      <c r="G503" s="3"/>
      <c r="L503" s="36"/>
    </row>
    <row r="504">
      <c r="G504" s="3"/>
      <c r="L504" s="36"/>
    </row>
    <row r="505">
      <c r="G505" s="3"/>
      <c r="L505" s="36"/>
    </row>
    <row r="506">
      <c r="G506" s="3"/>
      <c r="L506" s="36"/>
    </row>
    <row r="507">
      <c r="G507" s="3"/>
      <c r="L507" s="36"/>
    </row>
    <row r="508">
      <c r="G508" s="3"/>
      <c r="L508" s="36"/>
    </row>
    <row r="509">
      <c r="G509" s="3"/>
      <c r="L509" s="36"/>
    </row>
    <row r="510">
      <c r="G510" s="3"/>
      <c r="L510" s="36"/>
    </row>
    <row r="511">
      <c r="G511" s="3"/>
      <c r="L511" s="36"/>
    </row>
    <row r="512">
      <c r="G512" s="3"/>
      <c r="L512" s="36"/>
    </row>
    <row r="513">
      <c r="G513" s="3"/>
      <c r="L513" s="36"/>
    </row>
    <row r="514">
      <c r="G514" s="3"/>
      <c r="L514" s="36"/>
    </row>
    <row r="515">
      <c r="G515" s="3"/>
      <c r="L515" s="36"/>
    </row>
    <row r="516">
      <c r="G516" s="3"/>
      <c r="L516" s="36"/>
    </row>
    <row r="517">
      <c r="G517" s="3"/>
      <c r="L517" s="36"/>
    </row>
    <row r="518">
      <c r="G518" s="3"/>
      <c r="L518" s="36"/>
    </row>
    <row r="519">
      <c r="G519" s="3"/>
      <c r="L519" s="36"/>
    </row>
    <row r="520">
      <c r="G520" s="3"/>
      <c r="L520" s="36"/>
    </row>
    <row r="521">
      <c r="G521" s="3"/>
      <c r="L521" s="36"/>
    </row>
    <row r="522">
      <c r="G522" s="3"/>
      <c r="L522" s="36"/>
    </row>
    <row r="523">
      <c r="G523" s="3"/>
      <c r="L523" s="36"/>
    </row>
    <row r="524">
      <c r="G524" s="3"/>
      <c r="L524" s="36"/>
    </row>
    <row r="525">
      <c r="G525" s="3"/>
      <c r="L525" s="36"/>
    </row>
    <row r="526">
      <c r="G526" s="3"/>
      <c r="L526" s="36"/>
    </row>
    <row r="527">
      <c r="G527" s="3"/>
      <c r="L527" s="36"/>
    </row>
    <row r="528">
      <c r="G528" s="3"/>
      <c r="L528" s="36"/>
    </row>
    <row r="529">
      <c r="G529" s="3"/>
      <c r="L529" s="36"/>
    </row>
    <row r="530">
      <c r="G530" s="3"/>
      <c r="L530" s="36"/>
    </row>
    <row r="531">
      <c r="G531" s="3"/>
      <c r="L531" s="36"/>
    </row>
    <row r="532">
      <c r="G532" s="3"/>
      <c r="L532" s="36"/>
    </row>
    <row r="533">
      <c r="G533" s="3"/>
      <c r="L533" s="36"/>
    </row>
    <row r="534">
      <c r="G534" s="3"/>
      <c r="L534" s="36"/>
    </row>
    <row r="535">
      <c r="G535" s="3"/>
      <c r="L535" s="36"/>
    </row>
    <row r="536">
      <c r="G536" s="3"/>
      <c r="L536" s="36"/>
    </row>
    <row r="537">
      <c r="G537" s="3"/>
      <c r="L537" s="36"/>
    </row>
    <row r="538">
      <c r="G538" s="3"/>
      <c r="L538" s="36"/>
    </row>
    <row r="539">
      <c r="G539" s="3"/>
      <c r="L539" s="36"/>
    </row>
    <row r="540">
      <c r="G540" s="3"/>
      <c r="L540" s="36"/>
    </row>
    <row r="541">
      <c r="G541" s="3"/>
      <c r="L541" s="36"/>
    </row>
    <row r="542">
      <c r="G542" s="3"/>
      <c r="L542" s="36"/>
    </row>
    <row r="543">
      <c r="G543" s="3"/>
      <c r="L543" s="36"/>
    </row>
    <row r="544">
      <c r="G544" s="3"/>
      <c r="L544" s="36"/>
    </row>
    <row r="545">
      <c r="G545" s="3"/>
      <c r="L545" s="36"/>
    </row>
    <row r="546">
      <c r="G546" s="3"/>
      <c r="L546" s="36"/>
    </row>
    <row r="547">
      <c r="G547" s="3"/>
      <c r="L547" s="36"/>
    </row>
    <row r="548">
      <c r="G548" s="3"/>
      <c r="L548" s="36"/>
    </row>
    <row r="549">
      <c r="G549" s="3"/>
      <c r="L549" s="36"/>
    </row>
    <row r="550">
      <c r="G550" s="3"/>
      <c r="L550" s="36"/>
    </row>
    <row r="551">
      <c r="G551" s="3"/>
      <c r="L551" s="36"/>
    </row>
    <row r="552">
      <c r="G552" s="3"/>
      <c r="L552" s="36"/>
    </row>
    <row r="553">
      <c r="G553" s="3"/>
      <c r="L553" s="36"/>
    </row>
    <row r="554">
      <c r="G554" s="3"/>
      <c r="L554" s="36"/>
    </row>
    <row r="555">
      <c r="G555" s="3"/>
      <c r="L555" s="36"/>
    </row>
    <row r="556">
      <c r="G556" s="3"/>
      <c r="L556" s="36"/>
    </row>
    <row r="557">
      <c r="G557" s="3"/>
      <c r="L557" s="36"/>
    </row>
    <row r="558">
      <c r="G558" s="3"/>
      <c r="L558" s="36"/>
    </row>
    <row r="559">
      <c r="G559" s="3"/>
      <c r="L559" s="36"/>
    </row>
    <row r="560">
      <c r="G560" s="3"/>
      <c r="L560" s="36"/>
    </row>
    <row r="561">
      <c r="G561" s="3"/>
      <c r="L561" s="36"/>
    </row>
    <row r="562">
      <c r="G562" s="3"/>
      <c r="L562" s="36"/>
    </row>
    <row r="563">
      <c r="G563" s="3"/>
      <c r="L563" s="36"/>
    </row>
    <row r="564">
      <c r="G564" s="3"/>
      <c r="L564" s="36"/>
    </row>
    <row r="565">
      <c r="G565" s="3"/>
      <c r="L565" s="36"/>
    </row>
    <row r="566">
      <c r="G566" s="3"/>
      <c r="L566" s="36"/>
    </row>
    <row r="567">
      <c r="G567" s="3"/>
      <c r="L567" s="36"/>
    </row>
    <row r="568">
      <c r="G568" s="3"/>
      <c r="L568" s="36"/>
    </row>
    <row r="569">
      <c r="G569" s="3"/>
      <c r="L569" s="36"/>
    </row>
    <row r="570">
      <c r="G570" s="3"/>
      <c r="L570" s="36"/>
    </row>
    <row r="571">
      <c r="G571" s="3"/>
      <c r="L571" s="36"/>
    </row>
    <row r="572">
      <c r="G572" s="3"/>
      <c r="L572" s="36"/>
    </row>
    <row r="573">
      <c r="G573" s="3"/>
      <c r="L573" s="36"/>
    </row>
    <row r="574">
      <c r="G574" s="3"/>
      <c r="L574" s="36"/>
    </row>
    <row r="575">
      <c r="G575" s="3"/>
      <c r="L575" s="36"/>
    </row>
    <row r="576">
      <c r="G576" s="3"/>
      <c r="L576" s="36"/>
    </row>
    <row r="577">
      <c r="G577" s="3"/>
      <c r="L577" s="36"/>
    </row>
    <row r="578">
      <c r="G578" s="3"/>
      <c r="L578" s="36"/>
    </row>
    <row r="579">
      <c r="G579" s="3"/>
      <c r="L579" s="36"/>
    </row>
    <row r="580">
      <c r="G580" s="3"/>
      <c r="L580" s="36"/>
    </row>
    <row r="581">
      <c r="G581" s="3"/>
      <c r="L581" s="36"/>
    </row>
    <row r="582">
      <c r="G582" s="3"/>
      <c r="L582" s="36"/>
    </row>
    <row r="583">
      <c r="G583" s="3"/>
      <c r="L583" s="36"/>
    </row>
    <row r="584">
      <c r="G584" s="3"/>
      <c r="L584" s="36"/>
    </row>
    <row r="585">
      <c r="G585" s="3"/>
      <c r="L585" s="36"/>
    </row>
    <row r="586">
      <c r="G586" s="3"/>
      <c r="L586" s="36"/>
    </row>
    <row r="587">
      <c r="G587" s="3"/>
      <c r="L587" s="36"/>
    </row>
    <row r="588">
      <c r="G588" s="3"/>
      <c r="L588" s="36"/>
    </row>
    <row r="589">
      <c r="G589" s="3"/>
      <c r="L589" s="36"/>
    </row>
    <row r="590">
      <c r="G590" s="3"/>
      <c r="L590" s="36"/>
    </row>
    <row r="591">
      <c r="G591" s="3"/>
      <c r="L591" s="36"/>
    </row>
    <row r="592">
      <c r="G592" s="3"/>
      <c r="L592" s="36"/>
    </row>
    <row r="593">
      <c r="G593" s="3"/>
      <c r="L593" s="36"/>
    </row>
    <row r="594">
      <c r="G594" s="3"/>
      <c r="L594" s="36"/>
    </row>
    <row r="595">
      <c r="G595" s="3"/>
      <c r="L595" s="36"/>
    </row>
    <row r="596">
      <c r="G596" s="3"/>
      <c r="L596" s="36"/>
    </row>
    <row r="597">
      <c r="G597" s="3"/>
      <c r="L597" s="36"/>
    </row>
    <row r="598">
      <c r="G598" s="3"/>
      <c r="L598" s="36"/>
    </row>
    <row r="599">
      <c r="G599" s="3"/>
      <c r="L599" s="36"/>
    </row>
    <row r="600">
      <c r="G600" s="3"/>
      <c r="L600" s="36"/>
    </row>
    <row r="601">
      <c r="G601" s="3"/>
      <c r="L601" s="36"/>
    </row>
    <row r="602">
      <c r="G602" s="3"/>
      <c r="L602" s="36"/>
    </row>
    <row r="603">
      <c r="G603" s="3"/>
      <c r="L603" s="36"/>
    </row>
    <row r="604">
      <c r="G604" s="3"/>
      <c r="L604" s="36"/>
    </row>
    <row r="605">
      <c r="G605" s="3"/>
      <c r="L605" s="36"/>
    </row>
    <row r="606">
      <c r="G606" s="3"/>
      <c r="L606" s="36"/>
    </row>
    <row r="607">
      <c r="G607" s="3"/>
      <c r="L607" s="36"/>
    </row>
    <row r="608">
      <c r="G608" s="3"/>
      <c r="L608" s="36"/>
    </row>
    <row r="609">
      <c r="G609" s="3"/>
      <c r="L609" s="36"/>
    </row>
    <row r="610">
      <c r="G610" s="3"/>
      <c r="L610" s="36"/>
    </row>
    <row r="611">
      <c r="G611" s="3"/>
      <c r="L611" s="36"/>
    </row>
    <row r="612">
      <c r="G612" s="3"/>
      <c r="L612" s="36"/>
    </row>
    <row r="613">
      <c r="G613" s="3"/>
      <c r="L613" s="36"/>
    </row>
    <row r="614">
      <c r="G614" s="3"/>
      <c r="L614" s="36"/>
    </row>
    <row r="615">
      <c r="G615" s="3"/>
      <c r="L615" s="36"/>
    </row>
    <row r="616">
      <c r="G616" s="3"/>
      <c r="L616" s="36"/>
    </row>
    <row r="617">
      <c r="G617" s="3"/>
      <c r="L617" s="36"/>
    </row>
    <row r="618">
      <c r="G618" s="3"/>
      <c r="L618" s="36"/>
    </row>
    <row r="619">
      <c r="G619" s="3"/>
      <c r="L619" s="36"/>
    </row>
    <row r="620">
      <c r="G620" s="3"/>
      <c r="L620" s="36"/>
    </row>
    <row r="621">
      <c r="G621" s="3"/>
      <c r="L621" s="36"/>
    </row>
    <row r="622">
      <c r="G622" s="3"/>
      <c r="L622" s="36"/>
    </row>
    <row r="623">
      <c r="G623" s="3"/>
      <c r="L623" s="36"/>
    </row>
    <row r="624">
      <c r="G624" s="3"/>
      <c r="L624" s="36"/>
    </row>
    <row r="625">
      <c r="G625" s="3"/>
      <c r="L625" s="36"/>
    </row>
    <row r="626">
      <c r="G626" s="3"/>
      <c r="L626" s="36"/>
    </row>
    <row r="627">
      <c r="G627" s="3"/>
      <c r="L627" s="36"/>
    </row>
    <row r="628">
      <c r="G628" s="3"/>
      <c r="L628" s="36"/>
    </row>
    <row r="629">
      <c r="G629" s="3"/>
      <c r="L629" s="36"/>
    </row>
    <row r="630">
      <c r="G630" s="3"/>
      <c r="L630" s="36"/>
    </row>
    <row r="631">
      <c r="G631" s="3"/>
      <c r="L631" s="36"/>
    </row>
    <row r="632">
      <c r="G632" s="3"/>
      <c r="L632" s="36"/>
    </row>
    <row r="633">
      <c r="G633" s="3"/>
      <c r="L633" s="36"/>
    </row>
    <row r="634">
      <c r="G634" s="3"/>
      <c r="L634" s="36"/>
    </row>
    <row r="635">
      <c r="G635" s="3"/>
      <c r="L635" s="36"/>
    </row>
    <row r="636">
      <c r="G636" s="3"/>
      <c r="L636" s="36"/>
    </row>
    <row r="637">
      <c r="G637" s="3"/>
      <c r="L637" s="36"/>
    </row>
    <row r="638">
      <c r="G638" s="3"/>
      <c r="L638" s="36"/>
    </row>
    <row r="639">
      <c r="G639" s="3"/>
      <c r="L639" s="36"/>
    </row>
    <row r="640">
      <c r="G640" s="3"/>
      <c r="L640" s="36"/>
    </row>
    <row r="641">
      <c r="G641" s="3"/>
      <c r="L641" s="36"/>
    </row>
    <row r="642">
      <c r="G642" s="3"/>
      <c r="L642" s="36"/>
    </row>
    <row r="643">
      <c r="G643" s="3"/>
      <c r="L643" s="36"/>
    </row>
    <row r="644">
      <c r="G644" s="3"/>
      <c r="L644" s="36"/>
    </row>
    <row r="645">
      <c r="G645" s="3"/>
      <c r="L645" s="36"/>
    </row>
    <row r="646">
      <c r="G646" s="3"/>
      <c r="L646" s="36"/>
    </row>
    <row r="647">
      <c r="G647" s="3"/>
      <c r="L647" s="36"/>
    </row>
    <row r="648">
      <c r="G648" s="3"/>
      <c r="L648" s="36"/>
    </row>
    <row r="649">
      <c r="G649" s="3"/>
      <c r="L649" s="36"/>
    </row>
    <row r="650">
      <c r="G650" s="3"/>
      <c r="L650" s="36"/>
    </row>
    <row r="651">
      <c r="G651" s="3"/>
      <c r="L651" s="36"/>
    </row>
    <row r="652">
      <c r="G652" s="3"/>
      <c r="L652" s="36"/>
    </row>
    <row r="653">
      <c r="G653" s="3"/>
      <c r="L653" s="36"/>
    </row>
    <row r="654">
      <c r="G654" s="3"/>
      <c r="L654" s="36"/>
    </row>
    <row r="655">
      <c r="G655" s="3"/>
      <c r="L655" s="36"/>
    </row>
    <row r="656">
      <c r="G656" s="3"/>
      <c r="L656" s="36"/>
    </row>
    <row r="657">
      <c r="G657" s="3"/>
      <c r="L657" s="36"/>
    </row>
    <row r="658">
      <c r="G658" s="3"/>
      <c r="L658" s="36"/>
    </row>
    <row r="659">
      <c r="G659" s="3"/>
      <c r="L659" s="36"/>
    </row>
    <row r="660">
      <c r="G660" s="3"/>
      <c r="L660" s="36"/>
    </row>
    <row r="661">
      <c r="G661" s="3"/>
      <c r="L661" s="36"/>
    </row>
    <row r="662">
      <c r="G662" s="3"/>
      <c r="L662" s="36"/>
    </row>
    <row r="663">
      <c r="G663" s="3"/>
      <c r="L663" s="36"/>
    </row>
    <row r="664">
      <c r="G664" s="3"/>
      <c r="L664" s="36"/>
    </row>
    <row r="665">
      <c r="G665" s="3"/>
      <c r="L665" s="36"/>
    </row>
    <row r="666">
      <c r="G666" s="3"/>
      <c r="L666" s="36"/>
    </row>
    <row r="667">
      <c r="G667" s="3"/>
      <c r="L667" s="36"/>
    </row>
    <row r="668">
      <c r="G668" s="3"/>
      <c r="L668" s="36"/>
    </row>
    <row r="669">
      <c r="G669" s="3"/>
      <c r="L669" s="36"/>
    </row>
    <row r="670">
      <c r="G670" s="3"/>
      <c r="L670" s="36"/>
    </row>
    <row r="671">
      <c r="G671" s="3"/>
      <c r="L671" s="36"/>
    </row>
    <row r="672">
      <c r="G672" s="3"/>
      <c r="L672" s="36"/>
    </row>
    <row r="673">
      <c r="G673" s="3"/>
      <c r="L673" s="36"/>
    </row>
    <row r="674">
      <c r="G674" s="3"/>
      <c r="L674" s="36"/>
    </row>
    <row r="675">
      <c r="G675" s="3"/>
      <c r="L675" s="36"/>
    </row>
    <row r="676">
      <c r="G676" s="3"/>
      <c r="L676" s="36"/>
    </row>
    <row r="677">
      <c r="G677" s="3"/>
      <c r="L677" s="36"/>
    </row>
    <row r="678">
      <c r="G678" s="3"/>
      <c r="L678" s="36"/>
    </row>
    <row r="679">
      <c r="G679" s="3"/>
      <c r="L679" s="36"/>
    </row>
    <row r="680">
      <c r="G680" s="3"/>
      <c r="L680" s="36"/>
    </row>
    <row r="681">
      <c r="G681" s="3"/>
      <c r="L681" s="36"/>
    </row>
    <row r="682">
      <c r="G682" s="3"/>
      <c r="L682" s="36"/>
    </row>
    <row r="683">
      <c r="G683" s="3"/>
      <c r="L683" s="36"/>
    </row>
    <row r="684">
      <c r="G684" s="3"/>
      <c r="L684" s="36"/>
    </row>
    <row r="685">
      <c r="G685" s="3"/>
      <c r="L685" s="36"/>
    </row>
    <row r="686">
      <c r="G686" s="3"/>
      <c r="L686" s="36"/>
    </row>
    <row r="687">
      <c r="G687" s="3"/>
      <c r="L687" s="36"/>
    </row>
    <row r="688">
      <c r="G688" s="3"/>
      <c r="L688" s="36"/>
    </row>
    <row r="689">
      <c r="G689" s="3"/>
      <c r="L689" s="36"/>
    </row>
    <row r="690">
      <c r="G690" s="3"/>
      <c r="L690" s="36"/>
    </row>
    <row r="691">
      <c r="G691" s="3"/>
      <c r="L691" s="36"/>
    </row>
    <row r="692">
      <c r="G692" s="3"/>
      <c r="L692" s="36"/>
    </row>
    <row r="693">
      <c r="G693" s="3"/>
      <c r="L693" s="36"/>
    </row>
    <row r="694">
      <c r="G694" s="3"/>
      <c r="L694" s="36"/>
    </row>
    <row r="695">
      <c r="G695" s="3"/>
      <c r="L695" s="36"/>
    </row>
    <row r="696">
      <c r="G696" s="3"/>
      <c r="L696" s="36"/>
    </row>
    <row r="697">
      <c r="G697" s="3"/>
      <c r="L697" s="36"/>
    </row>
    <row r="698">
      <c r="G698" s="3"/>
      <c r="L698" s="36"/>
    </row>
    <row r="699">
      <c r="G699" s="3"/>
      <c r="L699" s="36"/>
    </row>
    <row r="700">
      <c r="G700" s="3"/>
      <c r="L700" s="36"/>
    </row>
    <row r="701">
      <c r="G701" s="3"/>
      <c r="L701" s="36"/>
    </row>
    <row r="702">
      <c r="G702" s="3"/>
      <c r="L702" s="36"/>
    </row>
    <row r="703">
      <c r="G703" s="3"/>
      <c r="L703" s="36"/>
    </row>
    <row r="704">
      <c r="G704" s="3"/>
      <c r="L704" s="36"/>
    </row>
    <row r="705">
      <c r="G705" s="3"/>
      <c r="L705" s="36"/>
    </row>
    <row r="706">
      <c r="G706" s="3"/>
      <c r="L706" s="36"/>
    </row>
    <row r="707">
      <c r="G707" s="3"/>
      <c r="L707" s="36"/>
    </row>
    <row r="708">
      <c r="G708" s="3"/>
      <c r="L708" s="36"/>
    </row>
    <row r="709">
      <c r="G709" s="3"/>
      <c r="L709" s="36"/>
    </row>
    <row r="710">
      <c r="G710" s="3"/>
      <c r="L710" s="36"/>
    </row>
    <row r="711">
      <c r="G711" s="3"/>
      <c r="L711" s="36"/>
    </row>
    <row r="712">
      <c r="G712" s="3"/>
      <c r="L712" s="36"/>
    </row>
    <row r="713">
      <c r="G713" s="3"/>
      <c r="L713" s="36"/>
    </row>
    <row r="714">
      <c r="G714" s="3"/>
      <c r="L714" s="36"/>
    </row>
    <row r="715">
      <c r="G715" s="3"/>
      <c r="L715" s="36"/>
    </row>
    <row r="716">
      <c r="G716" s="3"/>
      <c r="L716" s="36"/>
    </row>
    <row r="717">
      <c r="G717" s="3"/>
      <c r="L717" s="36"/>
    </row>
    <row r="718">
      <c r="G718" s="3"/>
      <c r="L718" s="36"/>
    </row>
    <row r="719">
      <c r="G719" s="3"/>
      <c r="L719" s="36"/>
    </row>
    <row r="720">
      <c r="G720" s="3"/>
      <c r="L720" s="36"/>
    </row>
    <row r="721">
      <c r="G721" s="3"/>
      <c r="L721" s="36"/>
    </row>
    <row r="722">
      <c r="G722" s="3"/>
      <c r="L722" s="36"/>
    </row>
    <row r="723">
      <c r="G723" s="3"/>
      <c r="L723" s="36"/>
    </row>
    <row r="724">
      <c r="G724" s="3"/>
      <c r="L724" s="36"/>
    </row>
    <row r="725">
      <c r="G725" s="3"/>
      <c r="L725" s="36"/>
    </row>
    <row r="726">
      <c r="G726" s="3"/>
      <c r="L726" s="36"/>
    </row>
    <row r="727">
      <c r="G727" s="3"/>
      <c r="L727" s="36"/>
    </row>
    <row r="728">
      <c r="G728" s="3"/>
      <c r="L728" s="36"/>
    </row>
    <row r="729">
      <c r="G729" s="3"/>
      <c r="L729" s="36"/>
    </row>
    <row r="730">
      <c r="G730" s="3"/>
      <c r="L730" s="36"/>
    </row>
    <row r="731">
      <c r="G731" s="3"/>
      <c r="L731" s="36"/>
    </row>
    <row r="732">
      <c r="G732" s="3"/>
      <c r="L732" s="36"/>
    </row>
    <row r="733">
      <c r="G733" s="3"/>
      <c r="L733" s="36"/>
    </row>
    <row r="734">
      <c r="G734" s="3"/>
      <c r="L734" s="36"/>
    </row>
    <row r="735">
      <c r="G735" s="3"/>
      <c r="L735" s="36"/>
    </row>
    <row r="736">
      <c r="G736" s="3"/>
      <c r="L736" s="36"/>
    </row>
    <row r="737">
      <c r="G737" s="3"/>
      <c r="L737" s="36"/>
    </row>
    <row r="738">
      <c r="G738" s="3"/>
      <c r="L738" s="36"/>
    </row>
    <row r="739">
      <c r="G739" s="3"/>
      <c r="L739" s="36"/>
    </row>
    <row r="740">
      <c r="G740" s="3"/>
      <c r="L740" s="36"/>
    </row>
    <row r="741">
      <c r="G741" s="3"/>
      <c r="L741" s="36"/>
    </row>
    <row r="742">
      <c r="G742" s="3"/>
      <c r="L742" s="36"/>
    </row>
    <row r="743">
      <c r="G743" s="3"/>
      <c r="L743" s="36"/>
    </row>
    <row r="744">
      <c r="G744" s="3"/>
      <c r="L744" s="36"/>
    </row>
    <row r="745">
      <c r="G745" s="3"/>
      <c r="L745" s="36"/>
    </row>
    <row r="746">
      <c r="G746" s="3"/>
      <c r="L746" s="36"/>
    </row>
    <row r="747">
      <c r="G747" s="3"/>
      <c r="L747" s="36"/>
    </row>
    <row r="748">
      <c r="G748" s="3"/>
      <c r="L748" s="36"/>
    </row>
    <row r="749">
      <c r="G749" s="3"/>
      <c r="L749" s="36"/>
    </row>
    <row r="750">
      <c r="G750" s="3"/>
      <c r="L750" s="36"/>
    </row>
    <row r="751">
      <c r="G751" s="3"/>
      <c r="L751" s="36"/>
    </row>
    <row r="752">
      <c r="G752" s="3"/>
      <c r="L752" s="36"/>
    </row>
    <row r="753">
      <c r="G753" s="3"/>
      <c r="L753" s="36"/>
    </row>
    <row r="754">
      <c r="G754" s="3"/>
      <c r="L754" s="36"/>
    </row>
    <row r="755">
      <c r="G755" s="3"/>
      <c r="L755" s="36"/>
    </row>
    <row r="756">
      <c r="G756" s="3"/>
      <c r="L756" s="36"/>
    </row>
    <row r="757">
      <c r="G757" s="3"/>
      <c r="L757" s="36"/>
    </row>
    <row r="758">
      <c r="G758" s="3"/>
      <c r="L758" s="36"/>
    </row>
    <row r="759">
      <c r="G759" s="3"/>
      <c r="L759" s="36"/>
    </row>
    <row r="760">
      <c r="G760" s="3"/>
      <c r="L760" s="36"/>
    </row>
    <row r="761">
      <c r="G761" s="3"/>
      <c r="L761" s="36"/>
    </row>
    <row r="762">
      <c r="G762" s="3"/>
      <c r="L762" s="36"/>
    </row>
    <row r="763">
      <c r="G763" s="3"/>
      <c r="L763" s="36"/>
    </row>
    <row r="764">
      <c r="G764" s="3"/>
      <c r="L764" s="36"/>
    </row>
    <row r="765">
      <c r="G765" s="3"/>
      <c r="L765" s="36"/>
    </row>
    <row r="766">
      <c r="G766" s="3"/>
      <c r="L766" s="36"/>
    </row>
    <row r="767">
      <c r="G767" s="3"/>
      <c r="L767" s="36"/>
    </row>
    <row r="768">
      <c r="G768" s="3"/>
      <c r="L768" s="36"/>
    </row>
    <row r="769">
      <c r="G769" s="3"/>
      <c r="L769" s="36"/>
    </row>
    <row r="770">
      <c r="G770" s="3"/>
      <c r="L770" s="36"/>
    </row>
    <row r="771">
      <c r="G771" s="3"/>
      <c r="L771" s="36"/>
    </row>
    <row r="772">
      <c r="G772" s="3"/>
      <c r="L772" s="36"/>
    </row>
    <row r="773">
      <c r="G773" s="3"/>
      <c r="L773" s="36"/>
    </row>
    <row r="774">
      <c r="G774" s="3"/>
      <c r="L774" s="36"/>
    </row>
    <row r="775">
      <c r="G775" s="3"/>
      <c r="L775" s="36"/>
    </row>
    <row r="776">
      <c r="G776" s="3"/>
      <c r="L776" s="36"/>
    </row>
    <row r="777">
      <c r="G777" s="3"/>
      <c r="L777" s="36"/>
    </row>
    <row r="778">
      <c r="G778" s="3"/>
      <c r="L778" s="36"/>
    </row>
    <row r="779">
      <c r="G779" s="3"/>
      <c r="L779" s="36"/>
    </row>
    <row r="780">
      <c r="G780" s="3"/>
      <c r="L780" s="36"/>
    </row>
    <row r="781">
      <c r="G781" s="3"/>
      <c r="L781" s="36"/>
    </row>
    <row r="782">
      <c r="G782" s="3"/>
      <c r="L782" s="36"/>
    </row>
    <row r="783">
      <c r="G783" s="3"/>
      <c r="L783" s="36"/>
    </row>
    <row r="784">
      <c r="G784" s="3"/>
      <c r="L784" s="36"/>
    </row>
    <row r="785">
      <c r="G785" s="3"/>
      <c r="L785" s="36"/>
    </row>
    <row r="786">
      <c r="G786" s="3"/>
      <c r="L786" s="36"/>
    </row>
    <row r="787">
      <c r="G787" s="3"/>
      <c r="L787" s="36"/>
    </row>
    <row r="788">
      <c r="G788" s="3"/>
      <c r="L788" s="36"/>
    </row>
    <row r="789">
      <c r="G789" s="3"/>
      <c r="L789" s="36"/>
    </row>
    <row r="790">
      <c r="G790" s="3"/>
      <c r="L790" s="36"/>
    </row>
    <row r="791">
      <c r="G791" s="3"/>
      <c r="L791" s="36"/>
    </row>
    <row r="792">
      <c r="G792" s="3"/>
      <c r="L792" s="36"/>
    </row>
    <row r="793">
      <c r="G793" s="3"/>
      <c r="L793" s="36"/>
    </row>
    <row r="794">
      <c r="G794" s="3"/>
      <c r="L794" s="36"/>
    </row>
    <row r="795">
      <c r="G795" s="3"/>
      <c r="L795" s="36"/>
    </row>
    <row r="796">
      <c r="G796" s="3"/>
      <c r="L796" s="36"/>
    </row>
    <row r="797">
      <c r="G797" s="3"/>
      <c r="L797" s="36"/>
    </row>
    <row r="798">
      <c r="G798" s="3"/>
      <c r="L798" s="36"/>
    </row>
    <row r="799">
      <c r="G799" s="3"/>
      <c r="L799" s="36"/>
    </row>
    <row r="800">
      <c r="G800" s="3"/>
      <c r="L800" s="36"/>
    </row>
    <row r="801">
      <c r="G801" s="3"/>
      <c r="L801" s="36"/>
    </row>
    <row r="802">
      <c r="G802" s="3"/>
      <c r="L802" s="36"/>
    </row>
    <row r="803">
      <c r="G803" s="3"/>
      <c r="L803" s="36"/>
    </row>
    <row r="804">
      <c r="G804" s="3"/>
      <c r="L804" s="36"/>
    </row>
    <row r="805">
      <c r="G805" s="3"/>
      <c r="L805" s="36"/>
    </row>
    <row r="806">
      <c r="G806" s="3"/>
      <c r="L806" s="36"/>
    </row>
    <row r="807">
      <c r="G807" s="3"/>
      <c r="L807" s="36"/>
    </row>
    <row r="808">
      <c r="G808" s="3"/>
      <c r="L808" s="36"/>
    </row>
    <row r="809">
      <c r="G809" s="3"/>
      <c r="L809" s="36"/>
    </row>
    <row r="810">
      <c r="G810" s="3"/>
      <c r="L810" s="36"/>
    </row>
    <row r="811">
      <c r="G811" s="3"/>
      <c r="L811" s="36"/>
    </row>
    <row r="812">
      <c r="G812" s="3"/>
      <c r="L812" s="36"/>
    </row>
    <row r="813">
      <c r="G813" s="3"/>
      <c r="L813" s="36"/>
    </row>
    <row r="814">
      <c r="G814" s="3"/>
      <c r="L814" s="36"/>
    </row>
    <row r="815">
      <c r="G815" s="3"/>
      <c r="L815" s="36"/>
    </row>
    <row r="816">
      <c r="G816" s="3"/>
      <c r="L816" s="36"/>
    </row>
    <row r="817">
      <c r="G817" s="3"/>
      <c r="L817" s="36"/>
    </row>
    <row r="818">
      <c r="G818" s="3"/>
      <c r="L818" s="36"/>
    </row>
    <row r="819">
      <c r="G819" s="3"/>
      <c r="L819" s="36"/>
    </row>
    <row r="820">
      <c r="G820" s="3"/>
      <c r="L820" s="36"/>
    </row>
    <row r="821">
      <c r="G821" s="3"/>
      <c r="L821" s="36"/>
    </row>
    <row r="822">
      <c r="G822" s="3"/>
      <c r="L822" s="36"/>
    </row>
    <row r="823">
      <c r="G823" s="3"/>
      <c r="L823" s="36"/>
    </row>
    <row r="824">
      <c r="G824" s="3"/>
      <c r="L824" s="36"/>
    </row>
    <row r="825">
      <c r="G825" s="3"/>
      <c r="L825" s="36"/>
    </row>
    <row r="826">
      <c r="G826" s="3"/>
      <c r="L826" s="36"/>
    </row>
    <row r="827">
      <c r="G827" s="3"/>
      <c r="L827" s="36"/>
    </row>
    <row r="828">
      <c r="G828" s="3"/>
      <c r="L828" s="36"/>
    </row>
    <row r="829">
      <c r="G829" s="3"/>
      <c r="L829" s="36"/>
    </row>
    <row r="830">
      <c r="G830" s="3"/>
      <c r="L830" s="36"/>
    </row>
    <row r="831">
      <c r="G831" s="3"/>
      <c r="L831" s="36"/>
    </row>
    <row r="832">
      <c r="G832" s="3"/>
      <c r="L832" s="36"/>
    </row>
    <row r="833">
      <c r="G833" s="3"/>
      <c r="L833" s="36"/>
    </row>
    <row r="834">
      <c r="G834" s="3"/>
      <c r="L834" s="36"/>
    </row>
    <row r="835">
      <c r="G835" s="3"/>
      <c r="L835" s="36"/>
    </row>
    <row r="836">
      <c r="G836" s="3"/>
      <c r="L836" s="36"/>
    </row>
    <row r="837">
      <c r="G837" s="3"/>
      <c r="L837" s="36"/>
    </row>
    <row r="838">
      <c r="G838" s="3"/>
      <c r="L838" s="36"/>
    </row>
    <row r="839">
      <c r="G839" s="3"/>
      <c r="L839" s="36"/>
    </row>
    <row r="840">
      <c r="G840" s="3"/>
      <c r="L840" s="36"/>
    </row>
    <row r="841">
      <c r="G841" s="3"/>
      <c r="L841" s="36"/>
    </row>
    <row r="842">
      <c r="G842" s="3"/>
      <c r="L842" s="36"/>
    </row>
    <row r="843">
      <c r="G843" s="3"/>
      <c r="L843" s="36"/>
    </row>
    <row r="844">
      <c r="G844" s="3"/>
      <c r="L844" s="36"/>
    </row>
    <row r="845">
      <c r="G845" s="3"/>
      <c r="L845" s="36"/>
    </row>
    <row r="846">
      <c r="G846" s="3"/>
      <c r="L846" s="36"/>
    </row>
    <row r="847">
      <c r="G847" s="3"/>
      <c r="L847" s="36"/>
    </row>
    <row r="848">
      <c r="G848" s="3"/>
      <c r="L848" s="36"/>
    </row>
    <row r="849">
      <c r="G849" s="3"/>
      <c r="L849" s="36"/>
    </row>
    <row r="850">
      <c r="G850" s="3"/>
      <c r="L850" s="36"/>
    </row>
    <row r="851">
      <c r="G851" s="3"/>
      <c r="L851" s="36"/>
    </row>
    <row r="852">
      <c r="G852" s="3"/>
      <c r="L852" s="36"/>
    </row>
    <row r="853">
      <c r="G853" s="3"/>
      <c r="L853" s="36"/>
    </row>
    <row r="854">
      <c r="G854" s="3"/>
      <c r="L854" s="36"/>
    </row>
    <row r="855">
      <c r="G855" s="3"/>
      <c r="L855" s="36"/>
    </row>
    <row r="856">
      <c r="G856" s="3"/>
      <c r="L856" s="36"/>
    </row>
    <row r="857">
      <c r="G857" s="3"/>
      <c r="L857" s="36"/>
    </row>
    <row r="858">
      <c r="G858" s="3"/>
      <c r="L858" s="36"/>
    </row>
    <row r="859">
      <c r="G859" s="3"/>
      <c r="L859" s="36"/>
    </row>
    <row r="860">
      <c r="G860" s="3"/>
      <c r="L860" s="36"/>
    </row>
    <row r="861">
      <c r="G861" s="3"/>
      <c r="L861" s="36"/>
    </row>
    <row r="862">
      <c r="G862" s="3"/>
      <c r="L862" s="36"/>
    </row>
    <row r="863">
      <c r="G863" s="3"/>
      <c r="L863" s="36"/>
    </row>
    <row r="864">
      <c r="G864" s="3"/>
      <c r="L864" s="36"/>
    </row>
    <row r="865">
      <c r="G865" s="3"/>
      <c r="L865" s="36"/>
    </row>
    <row r="866">
      <c r="G866" s="3"/>
      <c r="L866" s="36"/>
    </row>
    <row r="867">
      <c r="G867" s="3"/>
      <c r="L867" s="36"/>
    </row>
    <row r="868">
      <c r="G868" s="3"/>
      <c r="L868" s="36"/>
    </row>
    <row r="869">
      <c r="G869" s="3"/>
      <c r="L869" s="36"/>
    </row>
    <row r="870">
      <c r="G870" s="3"/>
      <c r="L870" s="36"/>
    </row>
    <row r="871">
      <c r="G871" s="3"/>
      <c r="L871" s="36"/>
    </row>
    <row r="872">
      <c r="G872" s="3"/>
      <c r="L872" s="36"/>
    </row>
    <row r="873">
      <c r="G873" s="3"/>
      <c r="L873" s="36"/>
    </row>
    <row r="874">
      <c r="G874" s="3"/>
      <c r="L874" s="36"/>
    </row>
    <row r="875">
      <c r="G875" s="3"/>
      <c r="L875" s="36"/>
    </row>
    <row r="876">
      <c r="G876" s="3"/>
      <c r="L876" s="36"/>
    </row>
    <row r="877">
      <c r="G877" s="3"/>
      <c r="L877" s="36"/>
    </row>
    <row r="878">
      <c r="G878" s="3"/>
      <c r="L878" s="36"/>
    </row>
    <row r="879">
      <c r="G879" s="3"/>
      <c r="L879" s="36"/>
    </row>
    <row r="880">
      <c r="G880" s="3"/>
      <c r="L880" s="36"/>
    </row>
    <row r="881">
      <c r="G881" s="3"/>
      <c r="L881" s="36"/>
    </row>
    <row r="882">
      <c r="G882" s="3"/>
      <c r="L882" s="36"/>
    </row>
    <row r="883">
      <c r="G883" s="3"/>
      <c r="L883" s="36"/>
    </row>
    <row r="884">
      <c r="G884" s="3"/>
      <c r="L884" s="36"/>
    </row>
    <row r="885">
      <c r="G885" s="3"/>
      <c r="L885" s="36"/>
    </row>
    <row r="886">
      <c r="G886" s="3"/>
      <c r="L886" s="36"/>
    </row>
    <row r="887">
      <c r="G887" s="3"/>
      <c r="L887" s="36"/>
    </row>
    <row r="888">
      <c r="G888" s="3"/>
      <c r="L888" s="36"/>
    </row>
    <row r="889">
      <c r="G889" s="3"/>
      <c r="L889" s="36"/>
    </row>
    <row r="890">
      <c r="G890" s="3"/>
      <c r="L890" s="36"/>
    </row>
    <row r="891">
      <c r="G891" s="3"/>
      <c r="L891" s="36"/>
    </row>
    <row r="892">
      <c r="G892" s="3"/>
      <c r="L892" s="36"/>
    </row>
    <row r="893">
      <c r="G893" s="3"/>
      <c r="L893" s="36"/>
    </row>
    <row r="894">
      <c r="G894" s="3"/>
      <c r="L894" s="36"/>
    </row>
    <row r="895">
      <c r="G895" s="3"/>
      <c r="L895" s="36"/>
    </row>
    <row r="896">
      <c r="G896" s="3"/>
      <c r="L896" s="36"/>
    </row>
    <row r="897">
      <c r="G897" s="3"/>
      <c r="L897" s="36"/>
    </row>
    <row r="898">
      <c r="G898" s="3"/>
      <c r="L898" s="36"/>
    </row>
    <row r="899">
      <c r="G899" s="3"/>
      <c r="L899" s="36"/>
    </row>
    <row r="900">
      <c r="G900" s="3"/>
      <c r="L900" s="36"/>
    </row>
    <row r="901">
      <c r="G901" s="3"/>
      <c r="L901" s="36"/>
    </row>
    <row r="902">
      <c r="G902" s="3"/>
      <c r="L902" s="36"/>
    </row>
    <row r="903">
      <c r="G903" s="3"/>
      <c r="L903" s="36"/>
    </row>
    <row r="904">
      <c r="G904" s="3"/>
      <c r="L904" s="36"/>
    </row>
    <row r="905">
      <c r="G905" s="3"/>
      <c r="L905" s="36"/>
    </row>
    <row r="906">
      <c r="G906" s="3"/>
      <c r="L906" s="36"/>
    </row>
    <row r="907">
      <c r="G907" s="3"/>
      <c r="L907" s="36"/>
    </row>
    <row r="908">
      <c r="G908" s="3"/>
      <c r="L908" s="36"/>
    </row>
    <row r="909">
      <c r="G909" s="3"/>
      <c r="L909" s="36"/>
    </row>
    <row r="910">
      <c r="G910" s="3"/>
      <c r="L910" s="36"/>
    </row>
    <row r="911">
      <c r="G911" s="3"/>
      <c r="L911" s="36"/>
    </row>
    <row r="912">
      <c r="G912" s="3"/>
      <c r="L912" s="36"/>
    </row>
    <row r="913">
      <c r="G913" s="3"/>
      <c r="L913" s="36"/>
    </row>
    <row r="914">
      <c r="G914" s="3"/>
      <c r="L914" s="36"/>
    </row>
    <row r="915">
      <c r="G915" s="3"/>
      <c r="L915" s="36"/>
    </row>
    <row r="916">
      <c r="G916" s="3"/>
      <c r="L916" s="36"/>
    </row>
    <row r="917">
      <c r="G917" s="3"/>
      <c r="L917" s="36"/>
    </row>
    <row r="918">
      <c r="G918" s="3"/>
      <c r="L918" s="36"/>
    </row>
    <row r="919">
      <c r="G919" s="3"/>
      <c r="L919" s="36"/>
    </row>
    <row r="920">
      <c r="G920" s="3"/>
      <c r="L920" s="36"/>
    </row>
    <row r="921">
      <c r="G921" s="3"/>
      <c r="L921" s="36"/>
    </row>
    <row r="922">
      <c r="G922" s="3"/>
      <c r="L922" s="36"/>
    </row>
    <row r="923">
      <c r="G923" s="3"/>
      <c r="L923" s="36"/>
    </row>
    <row r="924">
      <c r="G924" s="3"/>
      <c r="L924" s="36"/>
    </row>
    <row r="925">
      <c r="G925" s="3"/>
      <c r="L925" s="36"/>
    </row>
    <row r="926">
      <c r="G926" s="3"/>
      <c r="L926" s="36"/>
    </row>
    <row r="927">
      <c r="G927" s="3"/>
      <c r="L927" s="36"/>
    </row>
    <row r="928">
      <c r="G928" s="3"/>
      <c r="L928" s="36"/>
    </row>
    <row r="929">
      <c r="G929" s="3"/>
      <c r="L929" s="36"/>
    </row>
    <row r="930">
      <c r="G930" s="3"/>
      <c r="L930" s="36"/>
    </row>
    <row r="931">
      <c r="G931" s="3"/>
      <c r="L931" s="36"/>
    </row>
    <row r="932">
      <c r="G932" s="3"/>
      <c r="L932" s="36"/>
    </row>
    <row r="933">
      <c r="G933" s="3"/>
      <c r="L933" s="36"/>
    </row>
    <row r="934">
      <c r="G934" s="3"/>
      <c r="L934" s="36"/>
    </row>
    <row r="935">
      <c r="G935" s="3"/>
      <c r="L935" s="36"/>
    </row>
    <row r="936">
      <c r="G936" s="3"/>
      <c r="L936" s="36"/>
    </row>
    <row r="937">
      <c r="G937" s="3"/>
      <c r="L937" s="36"/>
    </row>
    <row r="938">
      <c r="G938" s="3"/>
      <c r="L938" s="36"/>
    </row>
    <row r="939">
      <c r="G939" s="3"/>
      <c r="L939" s="36"/>
    </row>
    <row r="940">
      <c r="G940" s="3"/>
      <c r="L940" s="36"/>
    </row>
    <row r="941">
      <c r="G941" s="3"/>
      <c r="L941" s="36"/>
    </row>
    <row r="942">
      <c r="G942" s="3"/>
      <c r="L942" s="36"/>
    </row>
    <row r="943">
      <c r="G943" s="3"/>
      <c r="L943" s="36"/>
    </row>
    <row r="944">
      <c r="G944" s="3"/>
      <c r="L944" s="36"/>
    </row>
    <row r="945">
      <c r="G945" s="3"/>
      <c r="L945" s="36"/>
    </row>
    <row r="946">
      <c r="G946" s="3"/>
      <c r="L946" s="36"/>
    </row>
    <row r="947">
      <c r="G947" s="3"/>
      <c r="L947" s="36"/>
    </row>
    <row r="948">
      <c r="G948" s="3"/>
      <c r="L948" s="36"/>
    </row>
    <row r="949">
      <c r="G949" s="3"/>
      <c r="L949" s="36"/>
    </row>
    <row r="950">
      <c r="G950" s="3"/>
      <c r="L950" s="36"/>
    </row>
    <row r="951">
      <c r="G951" s="3"/>
      <c r="L951" s="36"/>
    </row>
    <row r="952">
      <c r="G952" s="3"/>
      <c r="L952" s="36"/>
    </row>
    <row r="953">
      <c r="G953" s="3"/>
      <c r="L953" s="36"/>
    </row>
    <row r="954">
      <c r="G954" s="3"/>
      <c r="L954" s="36"/>
    </row>
    <row r="955">
      <c r="G955" s="3"/>
      <c r="L955" s="36"/>
    </row>
    <row r="956">
      <c r="G956" s="3"/>
      <c r="L956" s="36"/>
    </row>
    <row r="957">
      <c r="G957" s="3"/>
      <c r="L957" s="36"/>
    </row>
    <row r="958">
      <c r="G958" s="3"/>
      <c r="L958" s="36"/>
    </row>
    <row r="959">
      <c r="G959" s="3"/>
      <c r="L959" s="36"/>
    </row>
    <row r="960">
      <c r="G960" s="3"/>
      <c r="L960" s="36"/>
    </row>
    <row r="961">
      <c r="G961" s="3"/>
      <c r="L961" s="36"/>
    </row>
    <row r="962">
      <c r="G962" s="3"/>
      <c r="L962" s="36"/>
    </row>
    <row r="963">
      <c r="G963" s="3"/>
      <c r="L963" s="36"/>
    </row>
    <row r="964">
      <c r="G964" s="3"/>
      <c r="L964" s="36"/>
    </row>
    <row r="965">
      <c r="G965" s="3"/>
      <c r="L965" s="36"/>
    </row>
    <row r="966">
      <c r="G966" s="3"/>
      <c r="L966" s="36"/>
    </row>
    <row r="967">
      <c r="G967" s="3"/>
      <c r="L967" s="36"/>
    </row>
    <row r="968">
      <c r="G968" s="3"/>
      <c r="L968" s="36"/>
    </row>
    <row r="969">
      <c r="G969" s="3"/>
      <c r="L969" s="36"/>
    </row>
    <row r="970">
      <c r="G970" s="3"/>
      <c r="L970" s="36"/>
    </row>
    <row r="971">
      <c r="G971" s="3"/>
      <c r="L971" s="36"/>
    </row>
    <row r="972">
      <c r="G972" s="3"/>
      <c r="L972" s="36"/>
    </row>
    <row r="973">
      <c r="G973" s="3"/>
      <c r="L973" s="36"/>
    </row>
    <row r="974">
      <c r="G974" s="3"/>
      <c r="L974" s="36"/>
    </row>
    <row r="975">
      <c r="G975" s="3"/>
      <c r="L975" s="36"/>
    </row>
    <row r="976">
      <c r="G976" s="3"/>
      <c r="L976" s="36"/>
    </row>
    <row r="977">
      <c r="G977" s="3"/>
      <c r="L977" s="36"/>
    </row>
    <row r="978">
      <c r="G978" s="3"/>
      <c r="L978" s="36"/>
    </row>
    <row r="979">
      <c r="G979" s="3"/>
      <c r="L979" s="36"/>
    </row>
    <row r="980">
      <c r="G980" s="3"/>
      <c r="L980" s="36"/>
    </row>
    <row r="981">
      <c r="G981" s="3"/>
      <c r="L981" s="36"/>
    </row>
    <row r="982">
      <c r="G982" s="3"/>
      <c r="L982" s="36"/>
    </row>
    <row r="983">
      <c r="G983" s="3"/>
      <c r="L983" s="36"/>
    </row>
    <row r="984">
      <c r="G984" s="3"/>
      <c r="L984" s="36"/>
    </row>
    <row r="985">
      <c r="G985" s="3"/>
      <c r="L985" s="36"/>
    </row>
    <row r="986">
      <c r="G986" s="3"/>
      <c r="L986" s="36"/>
    </row>
    <row r="987">
      <c r="G987" s="3"/>
      <c r="L987" s="36"/>
    </row>
    <row r="988">
      <c r="G988" s="3"/>
      <c r="L988" s="36"/>
    </row>
    <row r="989">
      <c r="G989" s="3"/>
      <c r="L989" s="36"/>
    </row>
    <row r="990">
      <c r="G990" s="3"/>
      <c r="L990" s="36"/>
    </row>
    <row r="991">
      <c r="G991" s="3"/>
      <c r="L991" s="36"/>
    </row>
    <row r="992">
      <c r="G992" s="3"/>
      <c r="L992" s="36"/>
    </row>
    <row r="993">
      <c r="G993" s="3"/>
      <c r="L993" s="36"/>
    </row>
    <row r="994">
      <c r="G994" s="3"/>
      <c r="L994" s="36"/>
    </row>
    <row r="995">
      <c r="G995" s="3"/>
      <c r="L995" s="36"/>
    </row>
    <row r="996">
      <c r="G996" s="3"/>
      <c r="L996" s="36"/>
    </row>
    <row r="997">
      <c r="G997" s="3"/>
      <c r="L997" s="36"/>
    </row>
    <row r="998">
      <c r="G998" s="3"/>
      <c r="L998" s="36"/>
    </row>
    <row r="999">
      <c r="G999" s="3"/>
      <c r="L999" s="36"/>
    </row>
    <row r="1000">
      <c r="G1000" s="3"/>
      <c r="L1000" s="36"/>
    </row>
  </sheetData>
  <dataValidations>
    <dataValidation type="list" allowBlank="1" showErrorMessage="1" sqref="L8:L1000">
      <formula1>"PASS,FAILS,SKIP"</formula1>
    </dataValidation>
  </dataValidations>
  <hyperlinks>
    <hyperlink r:id="rId1" ref="H8"/>
    <hyperlink r:id="rId2" ref="H19"/>
    <hyperlink r:id="rId3" ref="J19"/>
    <hyperlink r:id="rId4" ref="K19"/>
    <hyperlink r:id="rId5" ref="M19"/>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64.88"/>
  </cols>
  <sheetData>
    <row r="1">
      <c r="A1" s="37" t="s">
        <v>433</v>
      </c>
      <c r="B1" s="38"/>
      <c r="C1" s="38"/>
      <c r="D1" s="38"/>
      <c r="E1" s="38"/>
      <c r="F1" s="38"/>
      <c r="G1" s="38"/>
    </row>
    <row r="3">
      <c r="A3" s="39" t="s">
        <v>434</v>
      </c>
    </row>
    <row r="4">
      <c r="A4" s="40"/>
      <c r="B4" s="41" t="s">
        <v>435</v>
      </c>
      <c r="C4" s="42" t="s">
        <v>1</v>
      </c>
    </row>
    <row r="5">
      <c r="A5" s="40"/>
      <c r="B5" s="41" t="s">
        <v>436</v>
      </c>
      <c r="C5" s="43" t="s">
        <v>437</v>
      </c>
    </row>
    <row r="6">
      <c r="A6" s="40"/>
      <c r="B6" s="41" t="s">
        <v>438</v>
      </c>
      <c r="C6" s="42" t="s">
        <v>439</v>
      </c>
    </row>
    <row r="7">
      <c r="A7" s="40"/>
      <c r="B7" s="41" t="s">
        <v>440</v>
      </c>
      <c r="C7" s="42" t="s">
        <v>441</v>
      </c>
    </row>
    <row r="8">
      <c r="A8" s="40"/>
      <c r="B8" s="41" t="s">
        <v>442</v>
      </c>
      <c r="C8" s="42" t="s">
        <v>443</v>
      </c>
    </row>
    <row r="9">
      <c r="A9" s="40"/>
      <c r="B9" s="41" t="s">
        <v>444</v>
      </c>
      <c r="C9" s="42" t="s">
        <v>445</v>
      </c>
    </row>
    <row r="10">
      <c r="A10" s="40"/>
      <c r="B10" s="41" t="s">
        <v>446</v>
      </c>
      <c r="C10" s="42" t="s">
        <v>447</v>
      </c>
    </row>
    <row r="12">
      <c r="A12" s="39" t="s">
        <v>448</v>
      </c>
    </row>
    <row r="13">
      <c r="A13" s="40"/>
      <c r="B13" s="44" t="s">
        <v>449</v>
      </c>
      <c r="C13" s="44" t="s">
        <v>450</v>
      </c>
      <c r="D13" s="44" t="s">
        <v>451</v>
      </c>
      <c r="E13" s="44" t="s">
        <v>452</v>
      </c>
      <c r="F13" s="44" t="s">
        <v>453</v>
      </c>
      <c r="G13" s="44" t="s">
        <v>454</v>
      </c>
    </row>
    <row r="14">
      <c r="A14" s="40"/>
      <c r="B14" s="45">
        <f>COUNTA(TEST_CASE!B8:B73)</f>
        <v>66</v>
      </c>
      <c r="C14" s="46">
        <f>COUNTIF(TEST_CASE!L8:L73, "PASS")</f>
        <v>65</v>
      </c>
      <c r="D14" s="47">
        <f>COUNTIF(TEST_CASE!L8:L73, "FAILS")</f>
        <v>1</v>
      </c>
      <c r="E14" s="48">
        <f>COUNTIF(TEST_CASE!L8:L73, "SKIP")</f>
        <v>0</v>
      </c>
      <c r="F14" s="49">
        <f>C14/B14</f>
        <v>0.9848484848</v>
      </c>
      <c r="G14" s="50"/>
    </row>
    <row r="15">
      <c r="A15" s="40"/>
      <c r="B15" s="51"/>
      <c r="C15" s="51"/>
      <c r="D15" s="51"/>
      <c r="E15" s="51"/>
      <c r="F15" s="51"/>
      <c r="G15" s="51"/>
    </row>
    <row r="16">
      <c r="A16" s="52"/>
      <c r="B16" s="44" t="s">
        <v>455</v>
      </c>
      <c r="C16" s="44" t="s">
        <v>449</v>
      </c>
      <c r="D16" s="44" t="s">
        <v>450</v>
      </c>
      <c r="E16" s="44" t="s">
        <v>451</v>
      </c>
      <c r="F16" s="44" t="s">
        <v>453</v>
      </c>
      <c r="G16" s="44" t="s">
        <v>21</v>
      </c>
    </row>
    <row r="17">
      <c r="A17" s="40"/>
      <c r="B17" s="53" t="s">
        <v>23</v>
      </c>
      <c r="C17" s="54">
        <f>COUNTIF(TEST_CASE!C8:C73, "Login")</f>
        <v>13</v>
      </c>
      <c r="D17" s="55">
        <f>COUNTIFS(TEST_CASE!C8:C73, "Login", TEST_CASE!L8:L73, "PASS")</f>
        <v>12</v>
      </c>
      <c r="E17" s="56">
        <f>COUNTIFS(TEST_CASE!C8:C73, "Login", TEST_CASE!L8:L73, "FAILS")</f>
        <v>1</v>
      </c>
      <c r="F17" s="57">
        <f t="shared" ref="F17:F23" si="1">D17/C17</f>
        <v>0.9230769231</v>
      </c>
      <c r="G17" s="58" t="s">
        <v>456</v>
      </c>
    </row>
    <row r="18">
      <c r="A18" s="40"/>
      <c r="B18" s="53" t="s">
        <v>104</v>
      </c>
      <c r="C18" s="54">
        <f>COUNTIF(TEST_CASE!C9:C74, "Product List")</f>
        <v>13</v>
      </c>
      <c r="D18" s="59">
        <f>COUNTIFS(TEST_CASE!C9:C74, "Product List", TEST_CASE!L9:L74, "PASS")</f>
        <v>13</v>
      </c>
      <c r="E18" s="60">
        <f>COUNTIFS(TEST_CASE!C9:C74, "Product List", TEST_CASE!L9:L74, "FAILS")</f>
        <v>0</v>
      </c>
      <c r="F18" s="61">
        <f t="shared" si="1"/>
        <v>1</v>
      </c>
      <c r="G18" s="58" t="s">
        <v>457</v>
      </c>
    </row>
    <row r="19">
      <c r="A19" s="40"/>
      <c r="B19" s="53" t="s">
        <v>184</v>
      </c>
      <c r="C19" s="54">
        <f>COUNTIF(TEST_CASE!C10:C75, "Product Detail")</f>
        <v>8</v>
      </c>
      <c r="D19" s="59">
        <f>COUNTIFS(TEST_CASE!C10:C75, "Product Detail", TEST_CASE!L10:L75, "PASS")</f>
        <v>8</v>
      </c>
      <c r="E19" s="60">
        <f>COUNTIFS(TEST_CASE!C10:C75, "Product Detail", TEST_CASE!L10:L75, "FAILS")</f>
        <v>0</v>
      </c>
      <c r="F19" s="61">
        <f t="shared" si="1"/>
        <v>1</v>
      </c>
      <c r="G19" s="58" t="s">
        <v>458</v>
      </c>
    </row>
    <row r="20">
      <c r="A20" s="40"/>
      <c r="B20" s="53" t="s">
        <v>459</v>
      </c>
      <c r="C20" s="54">
        <f>COUNTIF(TEST_CASE!C11:C76, "Cart")</f>
        <v>10</v>
      </c>
      <c r="D20" s="59">
        <f>COUNTIFS(TEST_CASE!C11:C76, "Cart", TEST_CASE!L11:L76, "PASS")</f>
        <v>10</v>
      </c>
      <c r="E20" s="60">
        <f>COUNTIFS(TEST_CASE!C11:C76, "Cart", TEST_CASE!L11:L76, "FAILS")</f>
        <v>0</v>
      </c>
      <c r="F20" s="61">
        <f t="shared" si="1"/>
        <v>1</v>
      </c>
      <c r="G20" s="58" t="s">
        <v>460</v>
      </c>
    </row>
    <row r="21">
      <c r="A21" s="40"/>
      <c r="B21" s="53" t="s">
        <v>299</v>
      </c>
      <c r="C21" s="54">
        <f>COUNTIF(TEST_CASE!C12:C77, "Checkout")</f>
        <v>16</v>
      </c>
      <c r="D21" s="59">
        <f>COUNTIFS(TEST_CASE!C12:C77, "Checkout", TEST_CASE!L12:L77, "PASS")</f>
        <v>16</v>
      </c>
      <c r="E21" s="60">
        <f>COUNTIFS(TEST_CASE!C12:C77, "Checkout", TEST_CASE!L12:L77, "FAILS")</f>
        <v>0</v>
      </c>
      <c r="F21" s="62">
        <f t="shared" si="1"/>
        <v>1</v>
      </c>
      <c r="G21" s="58" t="s">
        <v>461</v>
      </c>
    </row>
    <row r="22">
      <c r="A22" s="40"/>
      <c r="B22" s="53" t="s">
        <v>400</v>
      </c>
      <c r="C22" s="54">
        <f>COUNTIF(TEST_CASE!C13:C78, "Logout &amp; Nav")</f>
        <v>6</v>
      </c>
      <c r="D22" s="59">
        <f>COUNTIFS(TEST_CASE!C13:C78, "Logout &amp; Nav", TEST_CASE!L13:L78, "PASS")</f>
        <v>6</v>
      </c>
      <c r="E22" s="60">
        <f>COUNTIFS(TEST_CASE!C13:C78, "Logout &amp; Nav", TEST_CASE!L13:L78, "FAILS")</f>
        <v>0</v>
      </c>
      <c r="F22" s="61">
        <f t="shared" si="1"/>
        <v>1</v>
      </c>
      <c r="G22" s="58" t="s">
        <v>462</v>
      </c>
    </row>
    <row r="23">
      <c r="A23" s="40"/>
      <c r="B23" s="44" t="s">
        <v>463</v>
      </c>
      <c r="C23" s="63">
        <f t="shared" ref="C23:E23" si="2">SUM(C17:C22)</f>
        <v>66</v>
      </c>
      <c r="D23" s="63">
        <f t="shared" si="2"/>
        <v>65</v>
      </c>
      <c r="E23" s="63">
        <f t="shared" si="2"/>
        <v>1</v>
      </c>
      <c r="F23" s="64">
        <f t="shared" si="1"/>
        <v>0.9848484848</v>
      </c>
      <c r="G23" s="65"/>
    </row>
    <row r="25">
      <c r="A25" s="66" t="s">
        <v>464</v>
      </c>
    </row>
    <row r="26">
      <c r="A26" s="40"/>
      <c r="B26" s="44" t="s">
        <v>20</v>
      </c>
      <c r="C26" s="44" t="s">
        <v>455</v>
      </c>
      <c r="D26" s="44" t="s">
        <v>465</v>
      </c>
      <c r="E26" s="44" t="s">
        <v>19</v>
      </c>
      <c r="F26" s="44" t="s">
        <v>466</v>
      </c>
      <c r="G26" s="44" t="s">
        <v>467</v>
      </c>
    </row>
    <row r="27">
      <c r="A27" s="40"/>
      <c r="B27" s="67" t="s">
        <v>468</v>
      </c>
      <c r="C27" s="42" t="s">
        <v>469</v>
      </c>
      <c r="D27" s="68" t="s">
        <v>26</v>
      </c>
      <c r="E27" s="68" t="s">
        <v>470</v>
      </c>
      <c r="F27" s="69" t="s">
        <v>89</v>
      </c>
      <c r="G27" s="42" t="s">
        <v>471</v>
      </c>
    </row>
    <row r="28">
      <c r="A28" s="40"/>
      <c r="B28" s="51"/>
      <c r="C28" s="51"/>
      <c r="D28" s="51"/>
      <c r="E28" s="51"/>
      <c r="F28" s="51"/>
      <c r="G28" s="51"/>
    </row>
    <row r="29">
      <c r="A29" s="39" t="s">
        <v>472</v>
      </c>
    </row>
    <row r="30">
      <c r="A30" s="40"/>
      <c r="B30" s="41" t="s">
        <v>473</v>
      </c>
      <c r="C30" s="70" t="s">
        <v>474</v>
      </c>
    </row>
    <row r="31">
      <c r="A31" s="40"/>
      <c r="B31" s="41" t="s">
        <v>475</v>
      </c>
      <c r="C31" s="70" t="s">
        <v>476</v>
      </c>
    </row>
    <row r="32">
      <c r="A32" s="40"/>
      <c r="B32" s="41" t="s">
        <v>477</v>
      </c>
      <c r="C32" s="70" t="s">
        <v>478</v>
      </c>
    </row>
    <row r="33">
      <c r="A33" s="40"/>
      <c r="B33" s="41" t="s">
        <v>479</v>
      </c>
      <c r="C33" s="70" t="s">
        <v>480</v>
      </c>
    </row>
    <row r="34">
      <c r="A34" s="40"/>
      <c r="B34" s="41" t="s">
        <v>481</v>
      </c>
      <c r="C34" s="70" t="s">
        <v>482</v>
      </c>
    </row>
    <row r="35">
      <c r="A35" s="40"/>
      <c r="B35" s="51"/>
      <c r="C35" s="51"/>
      <c r="D35" s="51"/>
      <c r="E35" s="51"/>
      <c r="F35" s="51"/>
      <c r="G35" s="51"/>
    </row>
    <row r="36">
      <c r="A36" s="39" t="s">
        <v>483</v>
      </c>
    </row>
    <row r="37">
      <c r="A37" s="40"/>
      <c r="B37" s="41" t="s">
        <v>454</v>
      </c>
      <c r="C37" s="58" t="s">
        <v>484</v>
      </c>
    </row>
    <row r="38">
      <c r="A38" s="40"/>
      <c r="B38" s="41" t="s">
        <v>485</v>
      </c>
      <c r="C38" s="58" t="s">
        <v>486</v>
      </c>
    </row>
    <row r="39">
      <c r="A39" s="40"/>
      <c r="B39" s="41" t="s">
        <v>487</v>
      </c>
      <c r="C39" s="58" t="s">
        <v>488</v>
      </c>
    </row>
    <row r="40">
      <c r="A40" s="40"/>
      <c r="B40" s="41" t="s">
        <v>489</v>
      </c>
      <c r="C40" s="58" t="s">
        <v>490</v>
      </c>
    </row>
  </sheetData>
  <mergeCells count="21">
    <mergeCell ref="A3:G3"/>
    <mergeCell ref="C4:G4"/>
    <mergeCell ref="C5:G5"/>
    <mergeCell ref="C6:G6"/>
    <mergeCell ref="C7:G7"/>
    <mergeCell ref="C8:G8"/>
    <mergeCell ref="C9:G9"/>
    <mergeCell ref="C33:G33"/>
    <mergeCell ref="C34:G34"/>
    <mergeCell ref="A36:G36"/>
    <mergeCell ref="C37:G37"/>
    <mergeCell ref="C38:G38"/>
    <mergeCell ref="C39:G39"/>
    <mergeCell ref="C40:G40"/>
    <mergeCell ref="C10:G10"/>
    <mergeCell ref="A12:G12"/>
    <mergeCell ref="A25:G25"/>
    <mergeCell ref="A29:G29"/>
    <mergeCell ref="C30:G30"/>
    <mergeCell ref="C31:G31"/>
    <mergeCell ref="C32:G32"/>
  </mergeCells>
  <conditionalFormatting sqref="F14">
    <cfRule type="notContainsBlanks" dxfId="0" priority="1">
      <formula>LEN(TRIM(F14))&gt;0</formula>
    </cfRule>
  </conditionalFormatting>
  <hyperlinks>
    <hyperlink r:id="rId1" ref="C5"/>
  </hyperlinks>
  <drawing r:id="rId2"/>
</worksheet>
</file>